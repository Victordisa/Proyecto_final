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victo\Downloads\"/>
    </mc:Choice>
  </mc:AlternateContent>
  <xr:revisionPtr revIDLastSave="0" documentId="13_ncr:1_{1FC34F34-AB38-4FDD-ABF6-CD08FA4B37E9}" xr6:coauthVersionLast="47" xr6:coauthVersionMax="47" xr10:uidLastSave="{00000000-0000-0000-0000-000000000000}"/>
  <bookViews>
    <workbookView xWindow="28680" yWindow="-120" windowWidth="29040" windowHeight="15720" tabRatio="911" activeTab="2" xr2:uid="{00000000-000D-0000-FFFF-FFFF00000000}"/>
  </bookViews>
  <sheets>
    <sheet name="Atalanta" sheetId="1" r:id="rId1"/>
    <sheet name="Macros" sheetId="36" r:id="rId2"/>
    <sheet name="Cuadro_mando_Atalanta" sheetId="23" r:id="rId3"/>
    <sheet name="Gol_Primero_Segundo" sheetId="34" r:id="rId4"/>
    <sheet name="Prom_goles" sheetId="33" r:id="rId5"/>
    <sheet name="Tiros_vs_Tiros_Puerta" sheetId="30" r:id="rId6"/>
    <sheet name="Prom_faltas" sheetId="14" r:id="rId7"/>
    <sheet name="Tiros_Puerta_Goles" sheetId="16" r:id="rId8"/>
    <sheet name="Prom_Tiros" sheetId="32" r:id="rId9"/>
    <sheet name="Corners" sheetId="31" r:id="rId10"/>
    <sheet name="Resultados_Partidos" sheetId="29" r:id="rId11"/>
  </sheets>
  <definedNames>
    <definedName name="SegmentaciónDeDatos_Año">#N/A</definedName>
    <definedName name="SegmentaciónDeDatos_Estación">#N/A</definedName>
    <definedName name="SegmentaciónDeDatos_Lugar">#N/A</definedName>
    <definedName name="SegmentaciónDeDatos_Mes">#N/A</definedName>
    <definedName name="SegmentaciónDeDatos_Oponente2">#N/A</definedName>
  </definedNames>
  <calcPr calcId="191029"/>
  <pivotCaches>
    <pivotCache cacheId="21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O33" i="23"/>
  <c r="Q33" i="23"/>
  <c r="P31" i="23"/>
  <c r="Q41" i="23"/>
  <c r="P41" i="23"/>
  <c r="O41" i="23"/>
  <c r="Q40" i="23"/>
  <c r="P40" i="23"/>
  <c r="O40" i="23"/>
  <c r="P39" i="23"/>
  <c r="AA2" i="1"/>
  <c r="Z2" i="1"/>
  <c r="AQ2" i="1"/>
  <c r="AS2" i="1" s="1"/>
  <c r="AP2" i="1"/>
  <c r="AM2" i="1"/>
  <c r="AM3" i="1"/>
  <c r="AM4" i="1"/>
  <c r="AM5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C177" i="1"/>
  <c r="D177" i="1" s="1" a="1"/>
  <c r="D177" i="1" s="1"/>
  <c r="L177" i="1"/>
  <c r="M177" i="1"/>
  <c r="P177" i="1"/>
  <c r="Q177" i="1"/>
  <c r="T177" i="1"/>
  <c r="U177" i="1"/>
  <c r="Z177" i="1"/>
  <c r="AA177" i="1"/>
  <c r="AB177" i="1"/>
  <c r="AC177" i="1"/>
  <c r="AP177" i="1"/>
  <c r="AQ177" i="1"/>
  <c r="Z176" i="1"/>
  <c r="C176" i="1"/>
  <c r="D176" i="1" s="1" a="1"/>
  <c r="D176" i="1" s="1"/>
  <c r="L176" i="1"/>
  <c r="M176" i="1"/>
  <c r="P176" i="1"/>
  <c r="Q176" i="1"/>
  <c r="T176" i="1"/>
  <c r="U176" i="1"/>
  <c r="AA176" i="1"/>
  <c r="AB176" i="1"/>
  <c r="AC176" i="1"/>
  <c r="AP176" i="1"/>
  <c r="AQ176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C2" i="1"/>
  <c r="D2" i="1" s="1" a="1"/>
  <c r="D2" i="1" s="1"/>
  <c r="C3" i="1"/>
  <c r="D3" i="1" s="1" a="1"/>
  <c r="D3" i="1" s="1"/>
  <c r="C4" i="1"/>
  <c r="D4" i="1" s="1" a="1"/>
  <c r="D4" i="1" s="1"/>
  <c r="C5" i="1"/>
  <c r="D5" i="1" s="1" a="1"/>
  <c r="D5" i="1" s="1"/>
  <c r="C6" i="1"/>
  <c r="D6" i="1" s="1" a="1"/>
  <c r="D6" i="1" s="1"/>
  <c r="C7" i="1"/>
  <c r="D7" i="1" s="1" a="1"/>
  <c r="D7" i="1" s="1"/>
  <c r="C8" i="1"/>
  <c r="D8" i="1" s="1" a="1"/>
  <c r="D8" i="1" s="1"/>
  <c r="C9" i="1"/>
  <c r="D9" i="1" s="1" a="1"/>
  <c r="D9" i="1" s="1"/>
  <c r="C10" i="1"/>
  <c r="D10" i="1" s="1" a="1"/>
  <c r="D10" i="1" s="1"/>
  <c r="C11" i="1"/>
  <c r="D11" i="1" s="1" a="1"/>
  <c r="D11" i="1" s="1"/>
  <c r="C12" i="1"/>
  <c r="D12" i="1" s="1" a="1"/>
  <c r="D12" i="1" s="1"/>
  <c r="C13" i="1"/>
  <c r="D13" i="1" s="1" a="1"/>
  <c r="D13" i="1" s="1"/>
  <c r="C14" i="1"/>
  <c r="D14" i="1" s="1" a="1"/>
  <c r="D14" i="1" s="1"/>
  <c r="C15" i="1"/>
  <c r="D15" i="1" s="1" a="1"/>
  <c r="D15" i="1" s="1"/>
  <c r="C16" i="1"/>
  <c r="D16" i="1" s="1" a="1"/>
  <c r="D16" i="1" s="1"/>
  <c r="C17" i="1"/>
  <c r="D17" i="1" s="1" a="1"/>
  <c r="D17" i="1" s="1"/>
  <c r="C18" i="1"/>
  <c r="D18" i="1" s="1" a="1"/>
  <c r="D18" i="1" s="1"/>
  <c r="C19" i="1"/>
  <c r="D19" i="1" s="1" a="1"/>
  <c r="D19" i="1" s="1"/>
  <c r="C20" i="1"/>
  <c r="D20" i="1" s="1" a="1"/>
  <c r="D20" i="1" s="1"/>
  <c r="C21" i="1"/>
  <c r="D21" i="1" s="1" a="1"/>
  <c r="D21" i="1" s="1"/>
  <c r="C22" i="1"/>
  <c r="D22" i="1" s="1" a="1"/>
  <c r="D22" i="1" s="1"/>
  <c r="C23" i="1"/>
  <c r="D23" i="1" s="1" a="1"/>
  <c r="D23" i="1" s="1"/>
  <c r="C24" i="1"/>
  <c r="D24" i="1" s="1" a="1"/>
  <c r="D24" i="1" s="1"/>
  <c r="C25" i="1"/>
  <c r="D25" i="1" s="1" a="1"/>
  <c r="D25" i="1" s="1"/>
  <c r="C26" i="1"/>
  <c r="D26" i="1" s="1" a="1"/>
  <c r="D26" i="1" s="1"/>
  <c r="C27" i="1"/>
  <c r="D27" i="1" s="1" a="1"/>
  <c r="D27" i="1" s="1"/>
  <c r="C28" i="1"/>
  <c r="D28" i="1" s="1" a="1"/>
  <c r="D28" i="1" s="1"/>
  <c r="C29" i="1"/>
  <c r="D29" i="1" s="1" a="1"/>
  <c r="D29" i="1" s="1"/>
  <c r="C30" i="1"/>
  <c r="D30" i="1" s="1" a="1"/>
  <c r="D30" i="1" s="1"/>
  <c r="C31" i="1"/>
  <c r="D31" i="1" s="1" a="1"/>
  <c r="D31" i="1" s="1"/>
  <c r="C32" i="1"/>
  <c r="D32" i="1" s="1" a="1"/>
  <c r="D32" i="1" s="1"/>
  <c r="C33" i="1"/>
  <c r="D33" i="1" s="1" a="1"/>
  <c r="D33" i="1" s="1"/>
  <c r="C34" i="1"/>
  <c r="D34" i="1" s="1" a="1"/>
  <c r="D34" i="1" s="1"/>
  <c r="C35" i="1"/>
  <c r="D35" i="1" s="1" a="1"/>
  <c r="D35" i="1" s="1"/>
  <c r="C36" i="1"/>
  <c r="D36" i="1" s="1" a="1"/>
  <c r="D36" i="1" s="1"/>
  <c r="C37" i="1"/>
  <c r="D37" i="1" s="1" a="1"/>
  <c r="D37" i="1" s="1"/>
  <c r="C38" i="1"/>
  <c r="D38" i="1" s="1" a="1"/>
  <c r="D38" i="1" s="1"/>
  <c r="C39" i="1"/>
  <c r="D39" i="1" s="1" a="1"/>
  <c r="D39" i="1" s="1"/>
  <c r="C40" i="1"/>
  <c r="D40" i="1" s="1" a="1"/>
  <c r="D40" i="1" s="1"/>
  <c r="C41" i="1"/>
  <c r="D41" i="1" s="1" a="1"/>
  <c r="D41" i="1" s="1"/>
  <c r="C42" i="1"/>
  <c r="D42" i="1" s="1" a="1"/>
  <c r="D42" i="1" s="1"/>
  <c r="C43" i="1"/>
  <c r="D43" i="1" s="1" a="1"/>
  <c r="D43" i="1" s="1"/>
  <c r="C44" i="1"/>
  <c r="D44" i="1" s="1" a="1"/>
  <c r="D44" i="1" s="1"/>
  <c r="C45" i="1"/>
  <c r="D45" i="1" s="1" a="1"/>
  <c r="D45" i="1" s="1"/>
  <c r="C46" i="1"/>
  <c r="D46" i="1" s="1" a="1"/>
  <c r="D46" i="1" s="1"/>
  <c r="C47" i="1"/>
  <c r="D47" i="1" s="1" a="1"/>
  <c r="D47" i="1" s="1"/>
  <c r="C48" i="1"/>
  <c r="D48" i="1" s="1" a="1"/>
  <c r="D48" i="1" s="1"/>
  <c r="C49" i="1"/>
  <c r="D49" i="1" s="1" a="1"/>
  <c r="D49" i="1" s="1"/>
  <c r="C50" i="1"/>
  <c r="D50" i="1" s="1" a="1"/>
  <c r="D50" i="1" s="1"/>
  <c r="C51" i="1"/>
  <c r="D51" i="1" s="1" a="1"/>
  <c r="D51" i="1" s="1"/>
  <c r="C52" i="1"/>
  <c r="D52" i="1" s="1" a="1"/>
  <c r="D52" i="1" s="1"/>
  <c r="C53" i="1"/>
  <c r="D53" i="1" s="1" a="1"/>
  <c r="D53" i="1" s="1"/>
  <c r="C54" i="1"/>
  <c r="D54" i="1" s="1" a="1"/>
  <c r="D54" i="1" s="1"/>
  <c r="C55" i="1"/>
  <c r="D55" i="1" s="1" a="1"/>
  <c r="D55" i="1" s="1"/>
  <c r="C56" i="1"/>
  <c r="D56" i="1" s="1" a="1"/>
  <c r="D56" i="1" s="1"/>
  <c r="C57" i="1"/>
  <c r="D57" i="1" s="1" a="1"/>
  <c r="D57" i="1" s="1"/>
  <c r="C58" i="1"/>
  <c r="D58" i="1" s="1" a="1"/>
  <c r="D58" i="1" s="1"/>
  <c r="C59" i="1"/>
  <c r="D59" i="1" s="1" a="1"/>
  <c r="D59" i="1" s="1"/>
  <c r="C60" i="1"/>
  <c r="D60" i="1" s="1" a="1"/>
  <c r="D60" i="1" s="1"/>
  <c r="C61" i="1"/>
  <c r="D61" i="1" s="1" a="1"/>
  <c r="D61" i="1" s="1"/>
  <c r="C62" i="1"/>
  <c r="D62" i="1" s="1" a="1"/>
  <c r="D62" i="1" s="1"/>
  <c r="C63" i="1"/>
  <c r="D63" i="1" s="1" a="1"/>
  <c r="D63" i="1" s="1"/>
  <c r="C64" i="1"/>
  <c r="D64" i="1" s="1" a="1"/>
  <c r="D64" i="1" s="1"/>
  <c r="C65" i="1"/>
  <c r="D65" i="1" s="1" a="1"/>
  <c r="D65" i="1" s="1"/>
  <c r="C66" i="1"/>
  <c r="D66" i="1" s="1" a="1"/>
  <c r="D66" i="1" s="1"/>
  <c r="C67" i="1"/>
  <c r="D67" i="1" s="1" a="1"/>
  <c r="D67" i="1" s="1"/>
  <c r="C68" i="1"/>
  <c r="D68" i="1" s="1" a="1"/>
  <c r="D68" i="1" s="1"/>
  <c r="C69" i="1"/>
  <c r="D69" i="1" s="1" a="1"/>
  <c r="D69" i="1" s="1"/>
  <c r="C70" i="1"/>
  <c r="D70" i="1" s="1" a="1"/>
  <c r="D70" i="1" s="1"/>
  <c r="C71" i="1"/>
  <c r="D71" i="1" s="1" a="1"/>
  <c r="D71" i="1" s="1"/>
  <c r="C72" i="1"/>
  <c r="D72" i="1" s="1" a="1"/>
  <c r="D72" i="1" s="1"/>
  <c r="C73" i="1"/>
  <c r="D73" i="1" s="1" a="1"/>
  <c r="D73" i="1" s="1"/>
  <c r="C74" i="1"/>
  <c r="D74" i="1" s="1" a="1"/>
  <c r="D74" i="1" s="1"/>
  <c r="C75" i="1"/>
  <c r="D75" i="1" s="1" a="1"/>
  <c r="D75" i="1" s="1"/>
  <c r="C76" i="1"/>
  <c r="D76" i="1" s="1" a="1"/>
  <c r="D76" i="1" s="1"/>
  <c r="C77" i="1"/>
  <c r="D77" i="1" s="1" a="1"/>
  <c r="D77" i="1" s="1"/>
  <c r="C78" i="1"/>
  <c r="D78" i="1" s="1" a="1"/>
  <c r="D78" i="1" s="1"/>
  <c r="C79" i="1"/>
  <c r="D79" i="1" s="1" a="1"/>
  <c r="D79" i="1" s="1"/>
  <c r="C80" i="1"/>
  <c r="D80" i="1" s="1" a="1"/>
  <c r="D80" i="1" s="1"/>
  <c r="C81" i="1"/>
  <c r="D81" i="1" s="1" a="1"/>
  <c r="D81" i="1" s="1"/>
  <c r="C82" i="1"/>
  <c r="D82" i="1" s="1" a="1"/>
  <c r="D82" i="1" s="1"/>
  <c r="C83" i="1"/>
  <c r="D83" i="1" s="1" a="1"/>
  <c r="D83" i="1" s="1"/>
  <c r="C84" i="1"/>
  <c r="D84" i="1" s="1" a="1"/>
  <c r="D84" i="1" s="1"/>
  <c r="C85" i="1"/>
  <c r="D85" i="1" s="1" a="1"/>
  <c r="D85" i="1" s="1"/>
  <c r="C86" i="1"/>
  <c r="D86" i="1" s="1" a="1"/>
  <c r="D86" i="1" s="1"/>
  <c r="C87" i="1"/>
  <c r="D87" i="1" s="1" a="1"/>
  <c r="D87" i="1" s="1"/>
  <c r="C88" i="1"/>
  <c r="D88" i="1" s="1" a="1"/>
  <c r="D88" i="1" s="1"/>
  <c r="C89" i="1"/>
  <c r="D89" i="1" s="1" a="1"/>
  <c r="D89" i="1" s="1"/>
  <c r="C90" i="1"/>
  <c r="D90" i="1" s="1" a="1"/>
  <c r="D90" i="1" s="1"/>
  <c r="C91" i="1"/>
  <c r="D91" i="1" s="1" a="1"/>
  <c r="D91" i="1" s="1"/>
  <c r="C92" i="1"/>
  <c r="D92" i="1" s="1" a="1"/>
  <c r="D92" i="1" s="1"/>
  <c r="C93" i="1"/>
  <c r="D93" i="1" s="1" a="1"/>
  <c r="D93" i="1" s="1"/>
  <c r="C94" i="1"/>
  <c r="D94" i="1" s="1" a="1"/>
  <c r="D94" i="1" s="1"/>
  <c r="C95" i="1"/>
  <c r="D95" i="1" s="1" a="1"/>
  <c r="D95" i="1" s="1"/>
  <c r="C96" i="1"/>
  <c r="D96" i="1" s="1" a="1"/>
  <c r="D96" i="1" s="1"/>
  <c r="C97" i="1"/>
  <c r="D97" i="1" s="1" a="1"/>
  <c r="D97" i="1" s="1"/>
  <c r="C98" i="1"/>
  <c r="D98" i="1" s="1" a="1"/>
  <c r="D98" i="1" s="1"/>
  <c r="C99" i="1"/>
  <c r="D99" i="1" s="1" a="1"/>
  <c r="D99" i="1" s="1"/>
  <c r="C100" i="1"/>
  <c r="D100" i="1" s="1" a="1"/>
  <c r="D100" i="1" s="1"/>
  <c r="C101" i="1"/>
  <c r="D101" i="1" s="1" a="1"/>
  <c r="D101" i="1" s="1"/>
  <c r="C102" i="1"/>
  <c r="D102" i="1" s="1" a="1"/>
  <c r="D102" i="1" s="1"/>
  <c r="C103" i="1"/>
  <c r="D103" i="1" s="1" a="1"/>
  <c r="D103" i="1" s="1"/>
  <c r="C104" i="1"/>
  <c r="D104" i="1" s="1" a="1"/>
  <c r="D104" i="1" s="1"/>
  <c r="C105" i="1"/>
  <c r="D105" i="1" s="1" a="1"/>
  <c r="D105" i="1" s="1"/>
  <c r="C106" i="1"/>
  <c r="D106" i="1" s="1" a="1"/>
  <c r="D106" i="1" s="1"/>
  <c r="C107" i="1"/>
  <c r="D107" i="1" s="1" a="1"/>
  <c r="D107" i="1" s="1"/>
  <c r="C108" i="1"/>
  <c r="D108" i="1" s="1" a="1"/>
  <c r="D108" i="1" s="1"/>
  <c r="C109" i="1"/>
  <c r="D109" i="1" s="1" a="1"/>
  <c r="D109" i="1" s="1"/>
  <c r="C110" i="1"/>
  <c r="D110" i="1" s="1" a="1"/>
  <c r="D110" i="1" s="1"/>
  <c r="C111" i="1"/>
  <c r="D111" i="1" s="1" a="1"/>
  <c r="D111" i="1" s="1"/>
  <c r="C112" i="1"/>
  <c r="D112" i="1" s="1" a="1"/>
  <c r="D112" i="1" s="1"/>
  <c r="C113" i="1"/>
  <c r="D113" i="1" s="1" a="1"/>
  <c r="D113" i="1" s="1"/>
  <c r="C114" i="1"/>
  <c r="D114" i="1" s="1" a="1"/>
  <c r="D114" i="1" s="1"/>
  <c r="C115" i="1"/>
  <c r="D115" i="1" s="1" a="1"/>
  <c r="D115" i="1" s="1"/>
  <c r="C116" i="1"/>
  <c r="D116" i="1" s="1" a="1"/>
  <c r="D116" i="1" s="1"/>
  <c r="C117" i="1"/>
  <c r="D117" i="1" s="1" a="1"/>
  <c r="D117" i="1" s="1"/>
  <c r="C118" i="1"/>
  <c r="D118" i="1" s="1" a="1"/>
  <c r="D118" i="1" s="1"/>
  <c r="C119" i="1"/>
  <c r="D119" i="1" s="1" a="1"/>
  <c r="D119" i="1" s="1"/>
  <c r="C120" i="1"/>
  <c r="D120" i="1" s="1" a="1"/>
  <c r="D120" i="1" s="1"/>
  <c r="C121" i="1"/>
  <c r="D121" i="1" s="1" a="1"/>
  <c r="D121" i="1" s="1"/>
  <c r="C122" i="1"/>
  <c r="D122" i="1" s="1" a="1"/>
  <c r="D122" i="1" s="1"/>
  <c r="C123" i="1"/>
  <c r="D123" i="1" s="1" a="1"/>
  <c r="D123" i="1" s="1"/>
  <c r="C124" i="1"/>
  <c r="D124" i="1" s="1" a="1"/>
  <c r="D124" i="1" s="1"/>
  <c r="C125" i="1"/>
  <c r="D125" i="1" s="1" a="1"/>
  <c r="D125" i="1" s="1"/>
  <c r="C126" i="1"/>
  <c r="D126" i="1" s="1" a="1"/>
  <c r="D126" i="1" s="1"/>
  <c r="C127" i="1"/>
  <c r="D127" i="1" s="1" a="1"/>
  <c r="D127" i="1" s="1"/>
  <c r="C128" i="1"/>
  <c r="D128" i="1" s="1" a="1"/>
  <c r="D128" i="1" s="1"/>
  <c r="C129" i="1"/>
  <c r="D129" i="1" s="1" a="1"/>
  <c r="D129" i="1" s="1"/>
  <c r="C130" i="1"/>
  <c r="D130" i="1" s="1" a="1"/>
  <c r="D130" i="1" s="1"/>
  <c r="C131" i="1"/>
  <c r="D131" i="1" s="1" a="1"/>
  <c r="D131" i="1" s="1"/>
  <c r="C132" i="1"/>
  <c r="D132" i="1" s="1" a="1"/>
  <c r="D132" i="1" s="1"/>
  <c r="C133" i="1"/>
  <c r="D133" i="1" s="1" a="1"/>
  <c r="D133" i="1" s="1"/>
  <c r="C134" i="1"/>
  <c r="D134" i="1" s="1" a="1"/>
  <c r="D134" i="1" s="1"/>
  <c r="C135" i="1"/>
  <c r="D135" i="1" s="1" a="1"/>
  <c r="D135" i="1" s="1"/>
  <c r="C136" i="1"/>
  <c r="D136" i="1" s="1" a="1"/>
  <c r="D136" i="1" s="1"/>
  <c r="C137" i="1"/>
  <c r="D137" i="1" s="1" a="1"/>
  <c r="D137" i="1" s="1"/>
  <c r="C138" i="1"/>
  <c r="D138" i="1" s="1" a="1"/>
  <c r="D138" i="1" s="1"/>
  <c r="C139" i="1"/>
  <c r="D139" i="1" s="1" a="1"/>
  <c r="D139" i="1" s="1"/>
  <c r="C140" i="1"/>
  <c r="D140" i="1" s="1" a="1"/>
  <c r="D140" i="1" s="1"/>
  <c r="C141" i="1"/>
  <c r="D141" i="1" s="1" a="1"/>
  <c r="D141" i="1" s="1"/>
  <c r="C142" i="1"/>
  <c r="D142" i="1" s="1" a="1"/>
  <c r="D142" i="1" s="1"/>
  <c r="C143" i="1"/>
  <c r="D143" i="1" s="1" a="1"/>
  <c r="D143" i="1" s="1"/>
  <c r="C144" i="1"/>
  <c r="D144" i="1" s="1" a="1"/>
  <c r="D144" i="1" s="1"/>
  <c r="C145" i="1"/>
  <c r="D145" i="1" s="1" a="1"/>
  <c r="D145" i="1" s="1"/>
  <c r="C146" i="1"/>
  <c r="D146" i="1" s="1" a="1"/>
  <c r="D146" i="1" s="1"/>
  <c r="C147" i="1"/>
  <c r="D147" i="1" s="1" a="1"/>
  <c r="D147" i="1" s="1"/>
  <c r="C148" i="1"/>
  <c r="D148" i="1" s="1" a="1"/>
  <c r="D148" i="1" s="1"/>
  <c r="C149" i="1"/>
  <c r="D149" i="1" s="1" a="1"/>
  <c r="D149" i="1" s="1"/>
  <c r="C150" i="1"/>
  <c r="D150" i="1" s="1" a="1"/>
  <c r="D150" i="1" s="1"/>
  <c r="C151" i="1"/>
  <c r="D151" i="1" s="1" a="1"/>
  <c r="D151" i="1" s="1"/>
  <c r="C152" i="1"/>
  <c r="D152" i="1" s="1" a="1"/>
  <c r="D152" i="1" s="1"/>
  <c r="C153" i="1"/>
  <c r="D153" i="1" s="1" a="1"/>
  <c r="D153" i="1" s="1"/>
  <c r="C154" i="1"/>
  <c r="D154" i="1" s="1" a="1"/>
  <c r="D154" i="1" s="1"/>
  <c r="C155" i="1"/>
  <c r="D155" i="1" s="1" a="1"/>
  <c r="D155" i="1" s="1"/>
  <c r="C156" i="1"/>
  <c r="D156" i="1" s="1" a="1"/>
  <c r="D156" i="1" s="1"/>
  <c r="C157" i="1"/>
  <c r="D157" i="1" s="1" a="1"/>
  <c r="D157" i="1" s="1"/>
  <c r="C158" i="1"/>
  <c r="D158" i="1" s="1" a="1"/>
  <c r="D158" i="1" s="1"/>
  <c r="C159" i="1"/>
  <c r="D159" i="1" s="1" a="1"/>
  <c r="D159" i="1" s="1"/>
  <c r="C160" i="1"/>
  <c r="D160" i="1" s="1" a="1"/>
  <c r="D160" i="1" s="1"/>
  <c r="C161" i="1"/>
  <c r="D161" i="1" s="1" a="1"/>
  <c r="D161" i="1" s="1"/>
  <c r="C162" i="1"/>
  <c r="D162" i="1" s="1" a="1"/>
  <c r="D162" i="1" s="1"/>
  <c r="C163" i="1"/>
  <c r="D163" i="1" s="1" a="1"/>
  <c r="D163" i="1" s="1"/>
  <c r="C164" i="1"/>
  <c r="D164" i="1" s="1" a="1"/>
  <c r="D164" i="1" s="1"/>
  <c r="C165" i="1"/>
  <c r="D165" i="1" s="1" a="1"/>
  <c r="D165" i="1" s="1"/>
  <c r="C166" i="1"/>
  <c r="D166" i="1" s="1" a="1"/>
  <c r="D166" i="1" s="1"/>
  <c r="C167" i="1"/>
  <c r="D167" i="1" s="1" a="1"/>
  <c r="D167" i="1" s="1"/>
  <c r="C168" i="1"/>
  <c r="D168" i="1" s="1" a="1"/>
  <c r="D168" i="1" s="1"/>
  <c r="C169" i="1"/>
  <c r="D169" i="1" s="1" a="1"/>
  <c r="D169" i="1" s="1"/>
  <c r="C170" i="1"/>
  <c r="D170" i="1" s="1" a="1"/>
  <c r="D170" i="1" s="1"/>
  <c r="C171" i="1"/>
  <c r="D171" i="1" s="1" a="1"/>
  <c r="D171" i="1" s="1"/>
  <c r="C172" i="1"/>
  <c r="D172" i="1" s="1" a="1"/>
  <c r="D172" i="1" s="1"/>
  <c r="C173" i="1"/>
  <c r="D173" i="1" s="1" a="1"/>
  <c r="D173" i="1" s="1"/>
  <c r="C174" i="1"/>
  <c r="D174" i="1" s="1" a="1"/>
  <c r="D174" i="1" s="1"/>
  <c r="C175" i="1"/>
  <c r="D175" i="1" s="1" a="1"/>
  <c r="D175" i="1" s="1"/>
  <c r="AQ3" i="1"/>
  <c r="P26" i="23" s="1" a="1"/>
  <c r="P26" i="23" s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P3" i="1"/>
  <c r="AP4" i="1"/>
  <c r="AP5" i="1"/>
  <c r="AP6" i="1"/>
  <c r="AP7" i="1"/>
  <c r="AS7" i="1" s="1"/>
  <c r="AP8" i="1"/>
  <c r="AS8" i="1" s="1"/>
  <c r="AP9" i="1"/>
  <c r="AP10" i="1"/>
  <c r="AP11" i="1"/>
  <c r="AP12" i="1"/>
  <c r="AP13" i="1"/>
  <c r="AP14" i="1"/>
  <c r="AP15" i="1"/>
  <c r="AS15" i="1" s="1"/>
  <c r="AP16" i="1"/>
  <c r="AS16" i="1" s="1"/>
  <c r="AP17" i="1"/>
  <c r="AP18" i="1"/>
  <c r="AP19" i="1"/>
  <c r="AP20" i="1"/>
  <c r="AP21" i="1"/>
  <c r="AP22" i="1"/>
  <c r="AP23" i="1"/>
  <c r="AS23" i="1" s="1"/>
  <c r="AP24" i="1"/>
  <c r="AS24" i="1" s="1"/>
  <c r="AP25" i="1"/>
  <c r="AP26" i="1"/>
  <c r="AP27" i="1"/>
  <c r="AP28" i="1"/>
  <c r="AP29" i="1"/>
  <c r="AP30" i="1"/>
  <c r="AP31" i="1"/>
  <c r="AS31" i="1" s="1"/>
  <c r="AP32" i="1"/>
  <c r="AS32" i="1" s="1"/>
  <c r="AP33" i="1"/>
  <c r="AP34" i="1"/>
  <c r="AP35" i="1"/>
  <c r="AP36" i="1"/>
  <c r="AP37" i="1"/>
  <c r="AP38" i="1"/>
  <c r="AP39" i="1"/>
  <c r="AS39" i="1" s="1"/>
  <c r="AP40" i="1"/>
  <c r="AS40" i="1" s="1"/>
  <c r="AP41" i="1"/>
  <c r="AP42" i="1"/>
  <c r="AP43" i="1"/>
  <c r="AP44" i="1"/>
  <c r="AP45" i="1"/>
  <c r="AP46" i="1"/>
  <c r="AP47" i="1"/>
  <c r="AS47" i="1" s="1"/>
  <c r="AP48" i="1"/>
  <c r="AS48" i="1" s="1"/>
  <c r="AP49" i="1"/>
  <c r="AP50" i="1"/>
  <c r="AP51" i="1"/>
  <c r="AP52" i="1"/>
  <c r="AP53" i="1"/>
  <c r="AP54" i="1"/>
  <c r="AP55" i="1"/>
  <c r="AS55" i="1" s="1"/>
  <c r="AP56" i="1"/>
  <c r="AS56" i="1" s="1"/>
  <c r="AP57" i="1"/>
  <c r="AP58" i="1"/>
  <c r="AP59" i="1"/>
  <c r="AP60" i="1"/>
  <c r="AP61" i="1"/>
  <c r="AP62" i="1"/>
  <c r="AP63" i="1"/>
  <c r="AS63" i="1" s="1"/>
  <c r="AP64" i="1"/>
  <c r="AS64" i="1" s="1"/>
  <c r="AP65" i="1"/>
  <c r="AP66" i="1"/>
  <c r="AP67" i="1"/>
  <c r="AP68" i="1"/>
  <c r="AP69" i="1"/>
  <c r="AP70" i="1"/>
  <c r="AP71" i="1"/>
  <c r="AS71" i="1" s="1"/>
  <c r="AP72" i="1"/>
  <c r="AS72" i="1" s="1"/>
  <c r="AP73" i="1"/>
  <c r="AP74" i="1"/>
  <c r="AP75" i="1"/>
  <c r="AP76" i="1"/>
  <c r="AP77" i="1"/>
  <c r="AP78" i="1"/>
  <c r="AP79" i="1"/>
  <c r="AS79" i="1" s="1"/>
  <c r="AP80" i="1"/>
  <c r="AS80" i="1" s="1"/>
  <c r="AP81" i="1"/>
  <c r="AP82" i="1"/>
  <c r="AP83" i="1"/>
  <c r="AP84" i="1"/>
  <c r="AP85" i="1"/>
  <c r="AP86" i="1"/>
  <c r="AP87" i="1"/>
  <c r="AS87" i="1" s="1"/>
  <c r="AP88" i="1"/>
  <c r="AS88" i="1" s="1"/>
  <c r="AP89" i="1"/>
  <c r="AP90" i="1"/>
  <c r="AP91" i="1"/>
  <c r="AP92" i="1"/>
  <c r="AP93" i="1"/>
  <c r="AP94" i="1"/>
  <c r="AP95" i="1"/>
  <c r="AS95" i="1" s="1"/>
  <c r="AP96" i="1"/>
  <c r="AS96" i="1" s="1"/>
  <c r="AP97" i="1"/>
  <c r="AP98" i="1"/>
  <c r="AP99" i="1"/>
  <c r="AP100" i="1"/>
  <c r="AP101" i="1"/>
  <c r="AP102" i="1"/>
  <c r="AP103" i="1"/>
  <c r="AS103" i="1" s="1"/>
  <c r="AP104" i="1"/>
  <c r="AS104" i="1" s="1"/>
  <c r="AP105" i="1"/>
  <c r="AP106" i="1"/>
  <c r="AP107" i="1"/>
  <c r="AP108" i="1"/>
  <c r="AP109" i="1"/>
  <c r="AP110" i="1"/>
  <c r="AP111" i="1"/>
  <c r="AS111" i="1" s="1"/>
  <c r="AP112" i="1"/>
  <c r="AS112" i="1" s="1"/>
  <c r="AP113" i="1"/>
  <c r="AP114" i="1"/>
  <c r="AP115" i="1"/>
  <c r="AP116" i="1"/>
  <c r="AP117" i="1"/>
  <c r="AP118" i="1"/>
  <c r="AP119" i="1"/>
  <c r="AS119" i="1" s="1"/>
  <c r="AP120" i="1"/>
  <c r="AS120" i="1" s="1"/>
  <c r="AP121" i="1"/>
  <c r="AP122" i="1"/>
  <c r="AP123" i="1"/>
  <c r="AP124" i="1"/>
  <c r="AP125" i="1"/>
  <c r="AP126" i="1"/>
  <c r="AP127" i="1"/>
  <c r="AS127" i="1" s="1"/>
  <c r="AP128" i="1"/>
  <c r="AS128" i="1" s="1"/>
  <c r="AP129" i="1"/>
  <c r="AP130" i="1"/>
  <c r="AP131" i="1"/>
  <c r="AP132" i="1"/>
  <c r="AP133" i="1"/>
  <c r="AP134" i="1"/>
  <c r="AP135" i="1"/>
  <c r="AS135" i="1" s="1"/>
  <c r="AP136" i="1"/>
  <c r="AS136" i="1" s="1"/>
  <c r="AP137" i="1"/>
  <c r="AP138" i="1"/>
  <c r="AP139" i="1"/>
  <c r="AP140" i="1"/>
  <c r="AP141" i="1"/>
  <c r="AP142" i="1"/>
  <c r="AP143" i="1"/>
  <c r="AS143" i="1" s="1"/>
  <c r="AP144" i="1"/>
  <c r="AS144" i="1" s="1"/>
  <c r="AP145" i="1"/>
  <c r="AP146" i="1"/>
  <c r="AP147" i="1"/>
  <c r="AP148" i="1"/>
  <c r="AP149" i="1"/>
  <c r="AP150" i="1"/>
  <c r="AP151" i="1"/>
  <c r="AS151" i="1" s="1"/>
  <c r="AP152" i="1"/>
  <c r="AS152" i="1" s="1"/>
  <c r="AP153" i="1"/>
  <c r="AP154" i="1"/>
  <c r="AP155" i="1"/>
  <c r="AP156" i="1"/>
  <c r="AP157" i="1"/>
  <c r="AP158" i="1"/>
  <c r="AP159" i="1"/>
  <c r="AS159" i="1" s="1"/>
  <c r="AP160" i="1"/>
  <c r="AS160" i="1" s="1"/>
  <c r="AP161" i="1"/>
  <c r="AS161" i="1" s="1"/>
  <c r="AP162" i="1"/>
  <c r="AP163" i="1"/>
  <c r="AP164" i="1"/>
  <c r="AP165" i="1"/>
  <c r="AP166" i="1"/>
  <c r="AP167" i="1"/>
  <c r="AS167" i="1" s="1"/>
  <c r="AP168" i="1"/>
  <c r="AS168" i="1" s="1"/>
  <c r="AP169" i="1"/>
  <c r="AS169" i="1" s="1"/>
  <c r="AP170" i="1"/>
  <c r="AP171" i="1"/>
  <c r="AP172" i="1"/>
  <c r="AP173" i="1"/>
  <c r="AP174" i="1"/>
  <c r="AP175" i="1"/>
  <c r="AS175" i="1" s="1"/>
  <c r="AS133" i="1" l="1"/>
  <c r="AS153" i="1"/>
  <c r="AS145" i="1"/>
  <c r="AS137" i="1"/>
  <c r="AS129" i="1"/>
  <c r="AS121" i="1"/>
  <c r="AS113" i="1"/>
  <c r="AS105" i="1"/>
  <c r="AS97" i="1"/>
  <c r="AS89" i="1"/>
  <c r="AS81" i="1"/>
  <c r="AS73" i="1"/>
  <c r="AS65" i="1"/>
  <c r="AS57" i="1"/>
  <c r="AS49" i="1"/>
  <c r="AS41" i="1"/>
  <c r="AS33" i="1"/>
  <c r="AS25" i="1"/>
  <c r="AS17" i="1"/>
  <c r="AS9" i="1"/>
  <c r="AS177" i="1"/>
  <c r="AS171" i="1"/>
  <c r="AS163" i="1"/>
  <c r="AS155" i="1"/>
  <c r="AS147" i="1"/>
  <c r="AS139" i="1"/>
  <c r="AS131" i="1"/>
  <c r="AS123" i="1"/>
  <c r="AS115" i="1"/>
  <c r="AS107" i="1"/>
  <c r="AS99" i="1"/>
  <c r="AS91" i="1"/>
  <c r="AS83" i="1"/>
  <c r="AS75" i="1"/>
  <c r="AS67" i="1"/>
  <c r="AS59" i="1"/>
  <c r="AS51" i="1"/>
  <c r="AS43" i="1"/>
  <c r="AS35" i="1"/>
  <c r="AS27" i="1"/>
  <c r="AS19" i="1"/>
  <c r="AS11" i="1"/>
  <c r="AS3" i="1"/>
  <c r="AS170" i="1"/>
  <c r="AS146" i="1"/>
  <c r="AS130" i="1"/>
  <c r="AS98" i="1"/>
  <c r="AS90" i="1"/>
  <c r="AS74" i="1"/>
  <c r="AS58" i="1"/>
  <c r="AS50" i="1"/>
  <c r="AS42" i="1"/>
  <c r="AS34" i="1"/>
  <c r="AS10" i="1"/>
  <c r="AS162" i="1"/>
  <c r="AS138" i="1"/>
  <c r="AS122" i="1"/>
  <c r="AS106" i="1"/>
  <c r="AS82" i="1"/>
  <c r="AS66" i="1"/>
  <c r="AS26" i="1"/>
  <c r="AS154" i="1"/>
  <c r="AS114" i="1"/>
  <c r="AS18" i="1"/>
  <c r="AS174" i="1"/>
  <c r="AS158" i="1"/>
  <c r="AS142" i="1"/>
  <c r="AS126" i="1"/>
  <c r="AS110" i="1"/>
  <c r="AS102" i="1"/>
  <c r="AS86" i="1"/>
  <c r="AS62" i="1"/>
  <c r="AS46" i="1"/>
  <c r="AS30" i="1"/>
  <c r="AS6" i="1"/>
  <c r="AS125" i="1"/>
  <c r="AS117" i="1"/>
  <c r="AS109" i="1"/>
  <c r="AS101" i="1"/>
  <c r="AS93" i="1"/>
  <c r="AS85" i="1"/>
  <c r="AS77" i="1"/>
  <c r="AS69" i="1"/>
  <c r="AS61" i="1"/>
  <c r="AS53" i="1"/>
  <c r="AS45" i="1"/>
  <c r="AS37" i="1"/>
  <c r="AS29" i="1"/>
  <c r="AS21" i="1"/>
  <c r="AS13" i="1"/>
  <c r="AS5" i="1"/>
  <c r="AS166" i="1"/>
  <c r="AS150" i="1"/>
  <c r="AS134" i="1"/>
  <c r="AS118" i="1"/>
  <c r="AS94" i="1"/>
  <c r="AS78" i="1"/>
  <c r="AS70" i="1"/>
  <c r="AS54" i="1"/>
  <c r="AS38" i="1"/>
  <c r="AS22" i="1"/>
  <c r="AS14" i="1"/>
  <c r="AS173" i="1"/>
  <c r="AS165" i="1"/>
  <c r="AS157" i="1"/>
  <c r="AS149" i="1"/>
  <c r="AS141" i="1"/>
  <c r="AS172" i="1"/>
  <c r="AS164" i="1"/>
  <c r="AS156" i="1"/>
  <c r="AS148" i="1"/>
  <c r="AS140" i="1"/>
  <c r="AS132" i="1"/>
  <c r="AS124" i="1"/>
  <c r="AS116" i="1"/>
  <c r="AS108" i="1"/>
  <c r="AS100" i="1"/>
  <c r="AS92" i="1"/>
  <c r="AS84" i="1"/>
  <c r="AS76" i="1"/>
  <c r="AS68" i="1"/>
  <c r="AS60" i="1"/>
  <c r="AS52" i="1"/>
  <c r="AS44" i="1"/>
  <c r="AS36" i="1"/>
  <c r="AS28" i="1"/>
  <c r="AS20" i="1"/>
  <c r="AS12" i="1"/>
  <c r="AS4" i="1"/>
  <c r="AS176" i="1"/>
  <c r="AR2" i="1"/>
  <c r="AR161" i="1"/>
  <c r="AR129" i="1"/>
  <c r="AR121" i="1"/>
  <c r="AR113" i="1"/>
  <c r="AR81" i="1"/>
  <c r="AR73" i="1"/>
  <c r="AR65" i="1"/>
  <c r="AR57" i="1"/>
  <c r="AR49" i="1"/>
  <c r="AR41" i="1"/>
  <c r="AR33" i="1"/>
  <c r="AR25" i="1"/>
  <c r="AR17" i="1"/>
  <c r="AR9" i="1"/>
  <c r="AR145" i="1"/>
  <c r="AR105" i="1"/>
  <c r="AR153" i="1"/>
  <c r="AR89" i="1"/>
  <c r="AR169" i="1"/>
  <c r="AR137" i="1"/>
  <c r="AR97" i="1"/>
  <c r="AR177" i="1"/>
  <c r="AR176" i="1"/>
  <c r="AR172" i="1"/>
  <c r="AR164" i="1"/>
  <c r="AR156" i="1"/>
  <c r="AR148" i="1"/>
  <c r="AR140" i="1"/>
  <c r="AR132" i="1"/>
  <c r="AR124" i="1"/>
  <c r="AR116" i="1"/>
  <c r="AR108" i="1"/>
  <c r="AR100" i="1"/>
  <c r="AR92" i="1"/>
  <c r="AR84" i="1"/>
  <c r="AR76" i="1"/>
  <c r="AR68" i="1"/>
  <c r="AR60" i="1"/>
  <c r="AR52" i="1"/>
  <c r="AR44" i="1"/>
  <c r="AR36" i="1"/>
  <c r="AR28" i="1"/>
  <c r="AR20" i="1"/>
  <c r="AR12" i="1"/>
  <c r="AR4" i="1"/>
  <c r="AR175" i="1"/>
  <c r="AR167" i="1"/>
  <c r="AR159" i="1"/>
  <c r="AR151" i="1"/>
  <c r="AR143" i="1"/>
  <c r="AR135" i="1"/>
  <c r="AR127" i="1"/>
  <c r="AR119" i="1"/>
  <c r="AR111" i="1"/>
  <c r="AR103" i="1"/>
  <c r="AR95" i="1"/>
  <c r="AR87" i="1"/>
  <c r="AR79" i="1"/>
  <c r="AR71" i="1"/>
  <c r="AR63" i="1"/>
  <c r="AR55" i="1"/>
  <c r="AR47" i="1"/>
  <c r="AR39" i="1"/>
  <c r="AR31" i="1"/>
  <c r="AR23" i="1"/>
  <c r="AR15" i="1"/>
  <c r="AR7" i="1"/>
  <c r="AR171" i="1"/>
  <c r="AR163" i="1"/>
  <c r="AR155" i="1"/>
  <c r="AR147" i="1"/>
  <c r="AR139" i="1"/>
  <c r="AR131" i="1"/>
  <c r="AR123" i="1"/>
  <c r="AR115" i="1"/>
  <c r="AR107" i="1"/>
  <c r="AR99" i="1"/>
  <c r="AR91" i="1"/>
  <c r="AR83" i="1"/>
  <c r="AR75" i="1"/>
  <c r="AR67" i="1"/>
  <c r="AR59" i="1"/>
  <c r="AR51" i="1"/>
  <c r="AR43" i="1"/>
  <c r="AR35" i="1"/>
  <c r="AR27" i="1"/>
  <c r="AR19" i="1"/>
  <c r="AR11" i="1"/>
  <c r="AR170" i="1"/>
  <c r="AR162" i="1"/>
  <c r="AR154" i="1"/>
  <c r="AR146" i="1"/>
  <c r="AR138" i="1"/>
  <c r="AR130" i="1"/>
  <c r="AR122" i="1"/>
  <c r="AR114" i="1"/>
  <c r="AR106" i="1"/>
  <c r="AR98" i="1"/>
  <c r="AR90" i="1"/>
  <c r="AR82" i="1"/>
  <c r="AR74" i="1"/>
  <c r="AR66" i="1"/>
  <c r="AR58" i="1"/>
  <c r="AR50" i="1"/>
  <c r="AR42" i="1"/>
  <c r="AR34" i="1"/>
  <c r="AR26" i="1"/>
  <c r="AR18" i="1"/>
  <c r="AR10" i="1"/>
  <c r="AR174" i="1"/>
  <c r="AR166" i="1"/>
  <c r="AR158" i="1"/>
  <c r="AR150" i="1"/>
  <c r="AR142" i="1"/>
  <c r="AR134" i="1"/>
  <c r="AR126" i="1"/>
  <c r="AR118" i="1"/>
  <c r="AR110" i="1"/>
  <c r="AR102" i="1"/>
  <c r="AR94" i="1"/>
  <c r="AR86" i="1"/>
  <c r="AR78" i="1"/>
  <c r="AR70" i="1"/>
  <c r="AR62" i="1"/>
  <c r="AR54" i="1"/>
  <c r="AR46" i="1"/>
  <c r="AR38" i="1"/>
  <c r="AR30" i="1"/>
  <c r="AR22" i="1"/>
  <c r="AR14" i="1"/>
  <c r="AR6" i="1"/>
  <c r="AR173" i="1"/>
  <c r="AR165" i="1"/>
  <c r="AR157" i="1"/>
  <c r="AR149" i="1"/>
  <c r="AR141" i="1"/>
  <c r="AR133" i="1"/>
  <c r="AR125" i="1"/>
  <c r="AR117" i="1"/>
  <c r="AR109" i="1"/>
  <c r="AR101" i="1"/>
  <c r="AR93" i="1"/>
  <c r="AR85" i="1"/>
  <c r="AR77" i="1"/>
  <c r="AR69" i="1"/>
  <c r="AR61" i="1"/>
  <c r="AR53" i="1"/>
  <c r="AR45" i="1"/>
  <c r="AR37" i="1"/>
  <c r="AR29" i="1"/>
  <c r="AR21" i="1"/>
  <c r="AR13" i="1"/>
  <c r="AR5" i="1"/>
  <c r="AR3" i="1"/>
  <c r="AR168" i="1"/>
  <c r="AR160" i="1"/>
  <c r="AR152" i="1"/>
  <c r="AR144" i="1"/>
  <c r="AR136" i="1"/>
  <c r="AR128" i="1"/>
  <c r="AR120" i="1"/>
  <c r="AR112" i="1"/>
  <c r="AR104" i="1"/>
  <c r="AR96" i="1"/>
  <c r="AR88" i="1"/>
  <c r="AR80" i="1"/>
  <c r="AR72" i="1"/>
  <c r="AR64" i="1"/>
  <c r="AR56" i="1"/>
  <c r="AR48" i="1"/>
  <c r="AR40" i="1"/>
  <c r="AR32" i="1"/>
  <c r="AR24" i="1"/>
  <c r="AR16" i="1"/>
  <c r="AR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FA7864-AAFB-48EC-B4A3-7F2B2312F89B}" keepAlive="1" name="Consulta - Atalanta" description="Conexión a la consulta 'Atalanta' en el libro." type="5" refreshedVersion="0" background="1">
    <dbPr connection="Provider=Microsoft.Mashup.OleDb.1;Data Source=$Workbook$;Location=Atalanta;Extended Properties=&quot;&quot;" command="SELECT * FROM [Atalan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<sst xmlns="http://schemas.openxmlformats.org/spreadsheetml/2006/main" count="1544" uniqueCount="406">
  <si>
    <t>horario</t>
  </si>
  <si>
    <t>Lugar</t>
  </si>
  <si>
    <t>Oponente</t>
  </si>
  <si>
    <t>Formacion</t>
  </si>
  <si>
    <t>Resultado</t>
  </si>
  <si>
    <t>total_tiros_local</t>
  </si>
  <si>
    <t>total_tiros_visitante</t>
  </si>
  <si>
    <t>Tiros_puerta_local</t>
  </si>
  <si>
    <t>tiros_puerta_visitante</t>
  </si>
  <si>
    <t>corner_local</t>
  </si>
  <si>
    <t>corner_visitante</t>
  </si>
  <si>
    <t>faltas_local</t>
  </si>
  <si>
    <t>faltas_visitante</t>
  </si>
  <si>
    <t>fuera_local</t>
  </si>
  <si>
    <t>fuera_visitante</t>
  </si>
  <si>
    <t>Arbitro</t>
  </si>
  <si>
    <t>Gol_local_primero</t>
  </si>
  <si>
    <t>Gol_visitante_primero</t>
  </si>
  <si>
    <t>Gol_local_segundo</t>
  </si>
  <si>
    <t>Gol_visitante_segundo</t>
  </si>
  <si>
    <t>Ranking_oponente</t>
  </si>
  <si>
    <t>Wed Sep 30, 2020</t>
  </si>
  <si>
    <t>20:45:00</t>
  </si>
  <si>
    <t>A</t>
  </si>
  <si>
    <t>Lazio </t>
  </si>
  <si>
    <t>3-4-2-1</t>
  </si>
  <si>
    <t>1:4</t>
  </si>
  <si>
    <t>Fabrio Maresca</t>
  </si>
  <si>
    <t>6.</t>
  </si>
  <si>
    <t>Sat Sep 26, 2020</t>
  </si>
  <si>
    <t>15:00:00</t>
  </si>
  <si>
    <t>Torino </t>
  </si>
  <si>
    <t>3-4-1-2</t>
  </si>
  <si>
    <t>2:4</t>
  </si>
  <si>
    <t>Massimiliano Irrati</t>
  </si>
  <si>
    <t>12.</t>
  </si>
  <si>
    <t>Sun Oct 4, 2020</t>
  </si>
  <si>
    <t>12:30:00</t>
  </si>
  <si>
    <t>H</t>
  </si>
  <si>
    <t>Cagliari Calcio </t>
  </si>
  <si>
    <t>5:2</t>
  </si>
  <si>
    <t>fabrizio Pasqua</t>
  </si>
  <si>
    <t>14.</t>
  </si>
  <si>
    <t>Sat Oct 17, 2020</t>
  </si>
  <si>
    <t>Napoli </t>
  </si>
  <si>
    <t>4:1</t>
  </si>
  <si>
    <t>Marco Di bello</t>
  </si>
  <si>
    <t>Sat Oct 24, 2020</t>
  </si>
  <si>
    <t>Sampdoria </t>
  </si>
  <si>
    <t>1:3</t>
  </si>
  <si>
    <t>Gianpaolo Calvarese</t>
  </si>
  <si>
    <t>10.</t>
  </si>
  <si>
    <t>Sat Oct 31, 2020</t>
  </si>
  <si>
    <t>Crotone </t>
  </si>
  <si>
    <t>1:2</t>
  </si>
  <si>
    <t>federico Dionisi</t>
  </si>
  <si>
    <t>20.</t>
  </si>
  <si>
    <t>Sun Nov 8, 2020</t>
  </si>
  <si>
    <t>Inter </t>
  </si>
  <si>
    <t>1:1</t>
  </si>
  <si>
    <t>Daniele Doveri</t>
  </si>
  <si>
    <t>Sat Nov 21, 2020</t>
  </si>
  <si>
    <t>18:00:00</t>
  </si>
  <si>
    <t>Spezia Calcio </t>
  </si>
  <si>
    <t>0:0</t>
  </si>
  <si>
    <t>Anotio Rapuano</t>
  </si>
  <si>
    <t>13.</t>
  </si>
  <si>
    <t>Sat Nov 28, 2020</t>
  </si>
  <si>
    <t>Hellas Verona </t>
  </si>
  <si>
    <t>0:2</t>
  </si>
  <si>
    <t>Davide Massa</t>
  </si>
  <si>
    <t>9.</t>
  </si>
  <si>
    <t>Wed Jan 20, 2021</t>
  </si>
  <si>
    <t>Udinese Calcio </t>
  </si>
  <si>
    <t>Sun Dec 13, 2020</t>
  </si>
  <si>
    <t>Fiorentina </t>
  </si>
  <si>
    <t>3:0</t>
  </si>
  <si>
    <t>Maurizio Mariani</t>
  </si>
  <si>
    <t>17.</t>
  </si>
  <si>
    <t>Wed Dec 16, 2020</t>
  </si>
  <si>
    <t>18:30:00</t>
  </si>
  <si>
    <t>4.</t>
  </si>
  <si>
    <t>Sun Dec 20, 2020</t>
  </si>
  <si>
    <t>AS Roma </t>
  </si>
  <si>
    <t>Marco Di Bello</t>
  </si>
  <si>
    <t>5.</t>
  </si>
  <si>
    <t>Wed Dec 23, 2020</t>
  </si>
  <si>
    <t>Bologna </t>
  </si>
  <si>
    <t>2:2</t>
  </si>
  <si>
    <t>Daniele Chiffi</t>
  </si>
  <si>
    <t>Sun Jan 3, 2021</t>
  </si>
  <si>
    <t>Sassuolo </t>
  </si>
  <si>
    <t>5:1</t>
  </si>
  <si>
    <t>Fabio Maresca</t>
  </si>
  <si>
    <t>Wed Jan 6, 2021</t>
  </si>
  <si>
    <t>Parma </t>
  </si>
  <si>
    <t>Juan Luca Sacchi</t>
  </si>
  <si>
    <t>16.</t>
  </si>
  <si>
    <t>Sat Jan 9, 2021</t>
  </si>
  <si>
    <t>Benevento </t>
  </si>
  <si>
    <t>Gianluca Manganiello</t>
  </si>
  <si>
    <t>Sun Jan 17, 2021</t>
  </si>
  <si>
    <t>Genoa </t>
  </si>
  <si>
    <t>Livio Marinelli</t>
  </si>
  <si>
    <t>Sat Jan 23, 2021</t>
  </si>
  <si>
    <t>AC Milan </t>
  </si>
  <si>
    <t>0:3</t>
  </si>
  <si>
    <t>1.</t>
  </si>
  <si>
    <t>Sun Jan 31, 2021</t>
  </si>
  <si>
    <t>Sat Feb 6, 2021</t>
  </si>
  <si>
    <t>3:3</t>
  </si>
  <si>
    <t>18.</t>
  </si>
  <si>
    <t>Sun Feb 14, 2021</t>
  </si>
  <si>
    <t>0:1</t>
  </si>
  <si>
    <t>Marco Piccinini</t>
  </si>
  <si>
    <t>Sun Feb 21, 2021</t>
  </si>
  <si>
    <t>4:2</t>
  </si>
  <si>
    <t>Sun Feb 28, 2021</t>
  </si>
  <si>
    <t>Wed Mar 3, 2021</t>
  </si>
  <si>
    <t>Simone Sozza</t>
  </si>
  <si>
    <t>Mon Mar 8, 2021</t>
  </si>
  <si>
    <t>1:0</t>
  </si>
  <si>
    <t>Fri Mar 12, 2021</t>
  </si>
  <si>
    <t>3:1</t>
  </si>
  <si>
    <t>Valerio Marini</t>
  </si>
  <si>
    <t>Sun Mar 21, 2021</t>
  </si>
  <si>
    <t>4-2-3-1</t>
  </si>
  <si>
    <t>Luca Pairetto</t>
  </si>
  <si>
    <t>Sat Apr 3, 2021</t>
  </si>
  <si>
    <t>3:2</t>
  </si>
  <si>
    <t>Gianluca manganiello</t>
  </si>
  <si>
    <t>Sun Apr 11, 2021</t>
  </si>
  <si>
    <t>2:3</t>
  </si>
  <si>
    <t>Sun Apr 18, 2021</t>
  </si>
  <si>
    <t>Daniele Orsato</t>
  </si>
  <si>
    <t>3.</t>
  </si>
  <si>
    <t>Thu Apr 22, 2021</t>
  </si>
  <si>
    <t>7.</t>
  </si>
  <si>
    <t>Sun Apr 25, 2021</t>
  </si>
  <si>
    <t>5:0</t>
  </si>
  <si>
    <t>Michael Fabbri</t>
  </si>
  <si>
    <t>11.</t>
  </si>
  <si>
    <t>Sun May 2, 2021</t>
  </si>
  <si>
    <t>8.</t>
  </si>
  <si>
    <t>Sun May 9, 2021</t>
  </si>
  <si>
    <t>2:5</t>
  </si>
  <si>
    <t>Antonio Giua</t>
  </si>
  <si>
    <t>19.</t>
  </si>
  <si>
    <t>Wed May 12, 2021</t>
  </si>
  <si>
    <t>4-3-1-2</t>
  </si>
  <si>
    <t>2:0</t>
  </si>
  <si>
    <t>Sat May 15, 2021</t>
  </si>
  <si>
    <t>3:4</t>
  </si>
  <si>
    <t>Sun May 23, 2021</t>
  </si>
  <si>
    <t>Sat Aug 21, 2021</t>
  </si>
  <si>
    <t>Sat Aug 28, 2021</t>
  </si>
  <si>
    <t>Sat Sep 11, 2021</t>
  </si>
  <si>
    <t>Sat Sep 18, 2021</t>
  </si>
  <si>
    <t>Salernitana </t>
  </si>
  <si>
    <t>paolo Valeri</t>
  </si>
  <si>
    <t>Tue Sep 21, 2021</t>
  </si>
  <si>
    <t>2:1</t>
  </si>
  <si>
    <t>Sat Sep 25, 2021</t>
  </si>
  <si>
    <t>2.</t>
  </si>
  <si>
    <t>Sun Oct 3, 2021</t>
  </si>
  <si>
    <t>Sun Oct 17, 2021</t>
  </si>
  <si>
    <t>FC Empoli </t>
  </si>
  <si>
    <t>Marco Serra</t>
  </si>
  <si>
    <t>Sun Oct 24, 2021</t>
  </si>
  <si>
    <t>Wed Oct 27, 2021</t>
  </si>
  <si>
    <t>Alessandro Prontera</t>
  </si>
  <si>
    <t>15.</t>
  </si>
  <si>
    <t>Sat Oct 30, 2021</t>
  </si>
  <si>
    <t>Marco Guida</t>
  </si>
  <si>
    <t>Sat Nov 6, 2021</t>
  </si>
  <si>
    <t>Sat Nov 20, 2021</t>
  </si>
  <si>
    <t>Rosario Abisso</t>
  </si>
  <si>
    <t>Sat Nov 27, 2021</t>
  </si>
  <si>
    <t>Giovanni Ayroldi</t>
  </si>
  <si>
    <t>Tue Nov 30, 2021</t>
  </si>
  <si>
    <t>4:0</t>
  </si>
  <si>
    <t>Alberto Santoro</t>
  </si>
  <si>
    <t>Sat Dec 4, 2021</t>
  </si>
  <si>
    <t>Sun Dec 12, 2021</t>
  </si>
  <si>
    <t>Sat Dec 18, 2021</t>
  </si>
  <si>
    <t>Tue Dec 21, 2021</t>
  </si>
  <si>
    <t>Paolo Valeri</t>
  </si>
  <si>
    <t>Wed Apr 27, 2022</t>
  </si>
  <si>
    <t>20:15:00</t>
  </si>
  <si>
    <t>4:4</t>
  </si>
  <si>
    <t>Sun Jan 9, 2022</t>
  </si>
  <si>
    <t>16:30:00</t>
  </si>
  <si>
    <t>2:6</t>
  </si>
  <si>
    <t>Sun Jan 16, 2022</t>
  </si>
  <si>
    <t>Sat Jan 22, 2022</t>
  </si>
  <si>
    <t>Sun Feb 6, 2022</t>
  </si>
  <si>
    <t>Sun Feb 13, 2022</t>
  </si>
  <si>
    <t>Sun Feb 20, 2022</t>
  </si>
  <si>
    <t>Mon Feb 28, 2022</t>
  </si>
  <si>
    <t>Sat Mar 5, 2022</t>
  </si>
  <si>
    <t>Sun Mar 13, 2022</t>
  </si>
  <si>
    <t>Sun Mar 20, 2022</t>
  </si>
  <si>
    <t>fabio Maresca</t>
  </si>
  <si>
    <t>Sun Apr 3, 2022</t>
  </si>
  <si>
    <t>Sun Apr 10, 2022</t>
  </si>
  <si>
    <t>Mon Apr 18, 2022</t>
  </si>
  <si>
    <t>21:00:00</t>
  </si>
  <si>
    <t>Sat Apr 23, 2022</t>
  </si>
  <si>
    <t>Francesco Fourneau</t>
  </si>
  <si>
    <t>Mon May 2, 2022</t>
  </si>
  <si>
    <t>Sun May 8, 2022</t>
  </si>
  <si>
    <t>Sun May 15, 2022</t>
  </si>
  <si>
    <t>Sat May 21, 2022</t>
  </si>
  <si>
    <t>Sat Aug 13, 2022</t>
  </si>
  <si>
    <t>Federico Dionisi</t>
  </si>
  <si>
    <t>Sun Aug 21, 2022</t>
  </si>
  <si>
    <t>Sun Aug 28, 2022</t>
  </si>
  <si>
    <t>Thu Sep 1, 2022</t>
  </si>
  <si>
    <t>Mon Sep 5, 2022</t>
  </si>
  <si>
    <t>Monza </t>
  </si>
  <si>
    <t>Sun Sep 11, 2022</t>
  </si>
  <si>
    <t>Cremonese </t>
  </si>
  <si>
    <t>Andrea Colombo</t>
  </si>
  <si>
    <t>Sun Sep 18, 2022</t>
  </si>
  <si>
    <t>Sun Oct 2, 2022</t>
  </si>
  <si>
    <t>Sun Oct 9, 2022</t>
  </si>
  <si>
    <t>Sat Oct 15, 2022</t>
  </si>
  <si>
    <t>Matteo Marcenaro</t>
  </si>
  <si>
    <t>Sun Oct 23, 2022</t>
  </si>
  <si>
    <t>Sun Oct 30, 2022</t>
  </si>
  <si>
    <t>Sat Nov 5, 2022</t>
  </si>
  <si>
    <t>Wed Nov 9, 2022</t>
  </si>
  <si>
    <t>Lecce </t>
  </si>
  <si>
    <t>Sun Nov 13, 2022</t>
  </si>
  <si>
    <t>Wed Jan 4, 2023</t>
  </si>
  <si>
    <t>14:30:00</t>
  </si>
  <si>
    <t>Mon Jan 9, 2023</t>
  </si>
  <si>
    <t>Sun Jan 15, 2023</t>
  </si>
  <si>
    <t>8:2</t>
  </si>
  <si>
    <t>Gianluca Aureliano</t>
  </si>
  <si>
    <t>Sun Jan 22, 2023</t>
  </si>
  <si>
    <t>Sat Jan 28, 2023</t>
  </si>
  <si>
    <t>Sat Feb 4, 2023</t>
  </si>
  <si>
    <t>Sat Feb 11, 2023</t>
  </si>
  <si>
    <t>Sun Feb 19, 2023</t>
  </si>
  <si>
    <t>Matteo Piccinini</t>
  </si>
  <si>
    <t>Sun Feb 26, 2023</t>
  </si>
  <si>
    <t>Sat Mar 4, 2023</t>
  </si>
  <si>
    <t>Davide Ghersini</t>
  </si>
  <si>
    <t>Sat Mar 11, 2023</t>
  </si>
  <si>
    <t>Fri Mar 17, 2023</t>
  </si>
  <si>
    <t>Sat Apr 1, 2023</t>
  </si>
  <si>
    <t>Sat Apr 8, 2023</t>
  </si>
  <si>
    <t>Mon Apr 17, 2023</t>
  </si>
  <si>
    <t>Mon Apr 24, 2023</t>
  </si>
  <si>
    <t>Sat Apr 29, 2023</t>
  </si>
  <si>
    <t>Wed May 3, 2023</t>
  </si>
  <si>
    <t>Sun May 7, 2023</t>
  </si>
  <si>
    <t>Sat May 13, 2023</t>
  </si>
  <si>
    <t>Sat May 20, 2023</t>
  </si>
  <si>
    <t>Sat May 27, 2023</t>
  </si>
  <si>
    <t>Sun Jun 4, 2023</t>
  </si>
  <si>
    <t>Sun Aug 20, 2023</t>
  </si>
  <si>
    <t>Matteo Marchetti</t>
  </si>
  <si>
    <t>Sat Aug 26, 2023</t>
  </si>
  <si>
    <t>Frosinone </t>
  </si>
  <si>
    <t>Sat Sep 2, 2023</t>
  </si>
  <si>
    <t>matteo Marcenaro</t>
  </si>
  <si>
    <t>Sun Sep 17, 2023</t>
  </si>
  <si>
    <t>Sun Sep 24, 2023</t>
  </si>
  <si>
    <t>Ermanno feliciani</t>
  </si>
  <si>
    <t>Wed Sep 27, 2023</t>
  </si>
  <si>
    <t>Sun Oct 1, 2023</t>
  </si>
  <si>
    <t>Sun Oct 8, 2023</t>
  </si>
  <si>
    <t>Sun Oct 22, 2023</t>
  </si>
  <si>
    <t>Mon Oct 30, 2023</t>
  </si>
  <si>
    <t>Luca Massimi</t>
  </si>
  <si>
    <t>Sat Nov 4, 2023</t>
  </si>
  <si>
    <t>Sun Nov 12, 2023</t>
  </si>
  <si>
    <t>Sat Nov 25, 2023</t>
  </si>
  <si>
    <t>Mon Dec 4, 2023</t>
  </si>
  <si>
    <t>Sat Dec 9, 2023</t>
  </si>
  <si>
    <t>federico La Penna</t>
  </si>
  <si>
    <t>Mon Dec 18, 2023</t>
  </si>
  <si>
    <t>Sat Dec 23, 2023</t>
  </si>
  <si>
    <t>Antonio Rapuano</t>
  </si>
  <si>
    <t>Sat Dec 30, 2023</t>
  </si>
  <si>
    <t>Sun Jan 7, 2024</t>
  </si>
  <si>
    <t>Mon Jan 15, 2024</t>
  </si>
  <si>
    <t>Wed Feb 28, 2024</t>
  </si>
  <si>
    <t>Sat Jan 27, 2024</t>
  </si>
  <si>
    <t>Sun Feb 4, 2024</t>
  </si>
  <si>
    <t>Sun Feb 11, 2024</t>
  </si>
  <si>
    <t>Sat Feb 17, 2024</t>
  </si>
  <si>
    <t>Sun Feb 25, 2024</t>
  </si>
  <si>
    <t>Sun Mar 3, 2024</t>
  </si>
  <si>
    <t>Sun Mar 10, 2024</t>
  </si>
  <si>
    <t>Sun Jun 2, 2024</t>
  </si>
  <si>
    <t>Sat Mar 30, 2024</t>
  </si>
  <si>
    <t>Sun Apr 7, 2024</t>
  </si>
  <si>
    <t>Mon Apr 15, 2024</t>
  </si>
  <si>
    <t>Sun Apr 21, 2024</t>
  </si>
  <si>
    <t>Sun Apr 28, 2024</t>
  </si>
  <si>
    <t>Mon May 6, 2024</t>
  </si>
  <si>
    <t>Sun May 12, 2024</t>
  </si>
  <si>
    <t>Sat May 18, 2024</t>
  </si>
  <si>
    <t>Sun May 26, 2024</t>
  </si>
  <si>
    <t>Mon Aug 19, 2024</t>
  </si>
  <si>
    <t>0:4</t>
  </si>
  <si>
    <t>Sun Aug 25, 2024</t>
  </si>
  <si>
    <t>Fri Aug 30, 2024</t>
  </si>
  <si>
    <t>Sun Sep 15, 2024</t>
  </si>
  <si>
    <t>Tue Sep 24, 2024</t>
  </si>
  <si>
    <t>Paride Tremolada</t>
  </si>
  <si>
    <t>Sat Sep 28, 2024</t>
  </si>
  <si>
    <t>Sat Oct 5, 2024</t>
  </si>
  <si>
    <t>Sun Oct 20, 2024</t>
  </si>
  <si>
    <t>Luca Zuferli</t>
  </si>
  <si>
    <t>Sat Oct 26, 2024</t>
  </si>
  <si>
    <t>6:1</t>
  </si>
  <si>
    <t>Ermanno Feliciani</t>
  </si>
  <si>
    <t>Wed Oct 30, 2024</t>
  </si>
  <si>
    <t>Sun Nov 3, 2024</t>
  </si>
  <si>
    <t>Sun Nov 10, 2024</t>
  </si>
  <si>
    <t>Sat Nov 23, 2024</t>
  </si>
  <si>
    <t>Mon Dec 2, 2024</t>
  </si>
  <si>
    <t>Fri Dec 6, 2024</t>
  </si>
  <si>
    <t>Sat Dec 14, 2024</t>
  </si>
  <si>
    <t>Sun Dec 22, 2024</t>
  </si>
  <si>
    <t>Sat Dec 28, 2024</t>
  </si>
  <si>
    <t>Sat Jan 11, 2025</t>
  </si>
  <si>
    <t>Sat Jan 18, 2025</t>
  </si>
  <si>
    <t>Etiquetas de fila</t>
  </si>
  <si>
    <t>Total general</t>
  </si>
  <si>
    <t>N/A</t>
  </si>
  <si>
    <t>Goles_Atalanta</t>
  </si>
  <si>
    <t>Estado_Partido</t>
  </si>
  <si>
    <t>Cuenta de Estado_Partido</t>
  </si>
  <si>
    <t>Etiquetas de columna</t>
  </si>
  <si>
    <t>Derrota</t>
  </si>
  <si>
    <t>Empate</t>
  </si>
  <si>
    <t>Victoria</t>
  </si>
  <si>
    <t>Fecha</t>
  </si>
  <si>
    <t>Estación</t>
  </si>
  <si>
    <t>Promedio de Goles_Atalanta</t>
  </si>
  <si>
    <t>Faltas_Atalanta</t>
  </si>
  <si>
    <t>Faltas_visitante2</t>
  </si>
  <si>
    <t>Promedio de Faltas_Atalanta</t>
  </si>
  <si>
    <t>Tiros_puerta_Atalanta</t>
  </si>
  <si>
    <t>Tiros_puerta_visita</t>
  </si>
  <si>
    <t>Promedio de Tiros_puerta_Atalanta</t>
  </si>
  <si>
    <t>Juventus</t>
  </si>
  <si>
    <t>Como</t>
  </si>
  <si>
    <t>Posesion_visitante</t>
  </si>
  <si>
    <t>Posesion_local</t>
  </si>
  <si>
    <t>Posesion_Atalanta</t>
  </si>
  <si>
    <t>Posesion_Oponente</t>
  </si>
  <si>
    <t>Promedio de Faltas_oponente</t>
  </si>
  <si>
    <t>Goles_Oponente</t>
  </si>
  <si>
    <t>Venezia</t>
  </si>
  <si>
    <t>Corners_Atalanta</t>
  </si>
  <si>
    <t>Corners_Oponente</t>
  </si>
  <si>
    <t>Promedio de Corners_Atalanta</t>
  </si>
  <si>
    <t>Promedio de Corners_Oponente</t>
  </si>
  <si>
    <t>Tiros_Atalanta</t>
  </si>
  <si>
    <t>Tiros_Oponente</t>
  </si>
  <si>
    <t>Promedio de Tiros_Atalanta</t>
  </si>
  <si>
    <t>Promedio de Tiros_Oponente</t>
  </si>
  <si>
    <t>Máx. de Goles_Atalanta</t>
  </si>
  <si>
    <t>Máx. de Goles_Oponente</t>
  </si>
  <si>
    <t>Sat Feb 1, 2025</t>
  </si>
  <si>
    <t>Sat feb 8, 2025</t>
  </si>
  <si>
    <t>Hellas verona </t>
  </si>
  <si>
    <t>Promedio de Goles_Oponente</t>
  </si>
  <si>
    <t>0:5</t>
  </si>
  <si>
    <t>Gol_Primero_Atalanta</t>
  </si>
  <si>
    <t>Gol_Segundo_Atalanta</t>
  </si>
  <si>
    <t>Gol_Segundo_Oponente.</t>
  </si>
  <si>
    <t>Promedio de Gol_Primero_Atalanta</t>
  </si>
  <si>
    <t>Promedio de Gol_primero_oponente</t>
  </si>
  <si>
    <t>Promedio de Gol_Segundo_Atalanta</t>
  </si>
  <si>
    <t>Promedio de Gol_Segundo_Oponente.</t>
  </si>
  <si>
    <t>Mes</t>
  </si>
  <si>
    <t>Gol_Primero_oponente</t>
  </si>
  <si>
    <t>(Todas)</t>
  </si>
  <si>
    <t>Nombre</t>
  </si>
  <si>
    <t>Inicia</t>
  </si>
  <si>
    <t>Función</t>
  </si>
  <si>
    <t>AO2</t>
  </si>
  <si>
    <t>Saber si fue victoria derrota o empate del atalanta</t>
  </si>
  <si>
    <t>Hoja</t>
  </si>
  <si>
    <t>Estado_victoria_o_derrota</t>
  </si>
  <si>
    <t>Atalanta</t>
  </si>
  <si>
    <t>AR2</t>
  </si>
  <si>
    <t>Cantidad de goles totales del atalanta</t>
  </si>
  <si>
    <t>AP2</t>
  </si>
  <si>
    <t>Goles totales del oponenete</t>
  </si>
  <si>
    <t>Corners_atalanta</t>
  </si>
  <si>
    <t>Y2</t>
  </si>
  <si>
    <t>Cantidad corners atalanta</t>
  </si>
  <si>
    <t>Corners_oponente</t>
  </si>
  <si>
    <t>Z2</t>
  </si>
  <si>
    <t>Cantidad corners oponente</t>
  </si>
  <si>
    <t>Año</t>
  </si>
  <si>
    <t>Tue Jan 14, 2025</t>
  </si>
  <si>
    <t>Sat Jan 25,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</si>
</sst>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0" fontId="3" fillId="2" borderId="0" xfId="0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164" fontId="0" fillId="0" borderId="0" xfId="1" applyNumberFormat="1" applyFont="1"/>
    <xf numFmtId="0" fontId="4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5" fillId="2" borderId="0" xfId="0" applyFont="1" applyFill="1"/>
    <xf numFmtId="21" fontId="0" fillId="0" borderId="0" xfId="0" applyNumberFormat="1"/>
    <xf numFmtId="20" fontId="0" fillId="0" borderId="0" xfId="0" applyNumberFormat="1"/>
    <xf numFmtId="20" fontId="0" fillId="0" borderId="0" xfId="0" quotePrefix="1" applyNumberForma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5" fillId="2" borderId="0" xfId="0" applyFont="1" applyFill="1" applyAlignment="1">
      <alignment horizontal="right"/>
    </xf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194"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z val="12"/>
      </font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</dxfs>
  <tableStyles count="2" defaultTableStyle="TableStyleMedium9" defaultPivotStyle="PivotStyleLight16">
    <tableStyle name="Estilo de segmentación de datos 1" pivot="0" table="0" count="1" xr9:uid="{A9950D46-1FDF-4995-9F22-146030351154}">
      <tableStyleElement type="wholeTable" dxfId="193"/>
    </tableStyle>
    <tableStyle name="Estilo de segmentación de datos 2" pivot="0" table="0" count="10" xr9:uid="{5C04204E-029D-4E58-A428-B2DE45FC1BC0}">
      <tableStyleElement type="wholeTable" dxfId="192"/>
      <tableStyleElement type="headerRow" dxfId="191"/>
    </tableStyle>
  </tableStyles>
  <extLst>
    <ext xmlns:x14="http://schemas.microsoft.com/office/spreadsheetml/2009/9/main" uri="{46F421CA-312F-682f-3DD2-61675219B42D}">
      <x14:dxfs count="6">
        <dxf>
          <fill>
            <patternFill>
              <bgColor theme="1" tint="0.24994659260841701"/>
            </patternFill>
          </fill>
        </dxf>
        <dxf>
          <fill>
            <patternFill>
              <bgColor theme="1" tint="0.24994659260841701"/>
            </patternFill>
          </fill>
        </dxf>
        <dxf>
          <fill>
            <patternFill>
              <bgColor theme="3" tint="-0.24994659260841701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1" tint="0.24994659260841701"/>
            </patternFill>
          </fill>
        </dxf>
        <dxf>
          <fill>
            <patternFill>
              <bgColor theme="3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/>
            <x14:slicerStyleElement type="hoveredUnselectedItemWithNoData" dxfId="0"/>
            <x14:slicerStyleElement type="hoveredSelectedItemWithNoData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[ProyectoFinal_Victor_DiSalvatore.xlsm]Tiros_Puerta_Goles!Promedio_tiros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 sz="1400"/>
              <a:t>Tiros</a:t>
            </a:r>
            <a:r>
              <a:rPr lang="es-ES" sz="1400" baseline="0"/>
              <a:t> a puerta Atalanta vs Goles</a:t>
            </a:r>
            <a:endParaRPr lang="es-ES" sz="1400"/>
          </a:p>
        </c:rich>
      </c:tx>
      <c:layout>
        <c:manualLayout>
          <c:xMode val="edge"/>
          <c:yMode val="edge"/>
          <c:x val="0.1787780900565272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079513978018812E-2"/>
          <c:y val="6.6604415945734213E-2"/>
          <c:w val="0.9229941138755907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Tiros_Puerta_Goles!$B$3</c:f>
              <c:strCache>
                <c:ptCount val="1"/>
                <c:pt idx="0">
                  <c:v>Promedio de Tiros_puerta_Atalanta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Tiros_Puerta_Goles!$A$4:$A$5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Tiros_Puerta_Goles!$B$4:$B$5</c:f>
              <c:numCache>
                <c:formatCode>0.00</c:formatCode>
                <c:ptCount val="1"/>
                <c:pt idx="0">
                  <c:v>3.3333333333333335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4-4259-BB64-8943E60AE212}"/>
            </c:ext>
          </c:extLst>
        </c:ser>
        <c:ser>
          <c:idx val="1"/>
          <c:order val="1"/>
          <c:tx>
            <c:strRef>
              <c:f>Tiros_Puerta_Goles!$C$3</c:f>
              <c:strCache>
                <c:ptCount val="1"/>
                <c:pt idx="0">
                  <c:v>Promedio de Goles_Atalanta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Tiros_Puerta_Goles!$A$4:$A$5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Tiros_Puerta_Goles!$C$4:$C$5</c:f>
              <c:numCache>
                <c:formatCode>0.00</c:formatCode>
                <c:ptCount val="1"/>
                <c:pt idx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4-4259-BB64-8943E60AE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9863152"/>
        <c:axId val="459859408"/>
      </c:barChart>
      <c:catAx>
        <c:axId val="45986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9859408"/>
        <c:crosses val="autoZero"/>
        <c:auto val="1"/>
        <c:lblAlgn val="ctr"/>
        <c:lblOffset val="100"/>
        <c:noMultiLvlLbl val="0"/>
      </c:catAx>
      <c:valAx>
        <c:axId val="459859408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45986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[ProyectoFinal_Victor_DiSalvatore.xlsm]Prom_faltas!TablaDinámica14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Faltas Atalanta vs Oponente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142193815471112"/>
          <c:y val="8.196858097235224E-2"/>
          <c:w val="0.94345926497044463"/>
          <c:h val="0.84244060024632372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Prom_faltas!$B$3</c:f>
              <c:strCache>
                <c:ptCount val="1"/>
                <c:pt idx="0">
                  <c:v>Promedio de Faltas_Atalanta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Prom_faltas!$A$4:$A$5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Prom_faltas!$B$4:$B$5</c:f>
              <c:numCache>
                <c:formatCode>0.00</c:formatCode>
                <c:ptCount val="1"/>
                <c:pt idx="0">
                  <c:v>13.888888888888889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E-4587-9D80-0879F7DB7348}"/>
            </c:ext>
          </c:extLst>
        </c:ser>
        <c:ser>
          <c:idx val="1"/>
          <c:order val="1"/>
          <c:tx>
            <c:strRef>
              <c:f>Prom_faltas!$C$3</c:f>
              <c:strCache>
                <c:ptCount val="1"/>
                <c:pt idx="0">
                  <c:v>Promedio de Faltas_oponente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Prom_faltas!$A$4:$A$5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Prom_faltas!$C$4:$C$5</c:f>
              <c:numCache>
                <c:formatCode>0.00</c:formatCode>
                <c:ptCount val="1"/>
                <c:pt idx="0">
                  <c:v>10.888888888888889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E-4587-9D80-0879F7DB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97868335"/>
        <c:axId val="897868751"/>
        <c:axId val="0"/>
      </c:bar3DChart>
      <c:valAx>
        <c:axId val="897868751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high"/>
        <c:crossAx val="897868335"/>
        <c:crosses val="autoZero"/>
        <c:crossBetween val="between"/>
      </c:valAx>
      <c:catAx>
        <c:axId val="897868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9786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[ProyectoFinal_Victor_DiSalvatore.xlsm]Tiros_vs_Tiros_Puerta!TablaDinámica13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Tiros</a:t>
            </a:r>
            <a:r>
              <a:rPr lang="es-ES" baseline="0"/>
              <a:t> vs tiros a puerta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Tiros_vs_Tiros_Puerta!$B$3</c:f>
              <c:strCache>
                <c:ptCount val="1"/>
                <c:pt idx="0">
                  <c:v>Promedio de Tiros_Atalanta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Tiros_vs_Tiros_Puerta!$A$4:$A$5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Tiros_vs_Tiros_Puerta!$B$4:$B$5</c:f>
              <c:numCache>
                <c:formatCode>0.00</c:formatCode>
                <c:ptCount val="1"/>
                <c:pt idx="0">
                  <c:v>13.111111111111111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DE-4EF3-AEBE-611938768BC4}"/>
            </c:ext>
          </c:extLst>
        </c:ser>
        <c:ser>
          <c:idx val="1"/>
          <c:order val="1"/>
          <c:tx>
            <c:strRef>
              <c:f>Tiros_vs_Tiros_Puerta!$C$3</c:f>
              <c:strCache>
                <c:ptCount val="1"/>
                <c:pt idx="0">
                  <c:v>Promedio de Tiros_puerta_Atalanta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Tiros_vs_Tiros_Puerta!$A$4:$A$5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Tiros_vs_Tiros_Puerta!$C$4:$C$5</c:f>
              <c:numCache>
                <c:formatCode>0.00</c:formatCode>
                <c:ptCount val="1"/>
                <c:pt idx="0">
                  <c:v>3.3333333333333335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DE-4EF3-AEBE-611938768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61802911"/>
        <c:axId val="761804159"/>
      </c:barChart>
      <c:catAx>
        <c:axId val="76180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1804159"/>
        <c:crosses val="autoZero"/>
        <c:auto val="1"/>
        <c:lblAlgn val="ctr"/>
        <c:lblOffset val="100"/>
        <c:noMultiLvlLbl val="0"/>
      </c:catAx>
      <c:valAx>
        <c:axId val="761804159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761802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[ProyectoFinal_Victor_DiSalvatore.xlsm]Corners!TablaDinámica15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Promedio</a:t>
            </a:r>
            <a:r>
              <a:rPr lang="es-ES" b="1" baseline="0">
                <a:solidFill>
                  <a:schemeClr val="bg1"/>
                </a:solidFill>
              </a:rPr>
              <a:t> de Corners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>
            <a:outerShdw blurRad="50800" dist="50800" dir="5400000" algn="ctr" rotWithShape="0">
              <a:schemeClr val="tx1">
                <a:lumMod val="50000"/>
                <a:lumOff val="50000"/>
              </a:scheme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Corners!$B$3</c:f>
              <c:strCache>
                <c:ptCount val="1"/>
                <c:pt idx="0">
                  <c:v>Promedio de Corners_Atalanta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Corners!$A$4:$A$5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Corners!$B$4:$B$5</c:f>
              <c:numCache>
                <c:formatCode>0.00</c:formatCode>
                <c:ptCount val="1"/>
                <c:pt idx="0">
                  <c:v>5.333333333333333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F-41F9-8D16-A8604C3A9072}"/>
            </c:ext>
          </c:extLst>
        </c:ser>
        <c:ser>
          <c:idx val="1"/>
          <c:order val="1"/>
          <c:tx>
            <c:strRef>
              <c:f>Corners!$C$3</c:f>
              <c:strCache>
                <c:ptCount val="1"/>
                <c:pt idx="0">
                  <c:v>Promedio de Corners_Oponente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Corners!$A$4:$A$5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Corners!$C$4:$C$5</c:f>
              <c:numCache>
                <c:formatCode>0.00</c:formatCode>
                <c:ptCount val="1"/>
                <c:pt idx="0">
                  <c:v>3.6666666666666665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1F-41F9-8D16-A8604C3A9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5240287"/>
        <c:axId val="1035228639"/>
      </c:barChart>
      <c:catAx>
        <c:axId val="1035240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35228639"/>
        <c:crosses val="autoZero"/>
        <c:auto val="1"/>
        <c:lblAlgn val="ctr"/>
        <c:lblOffset val="100"/>
        <c:noMultiLvlLbl val="0"/>
      </c:catAx>
      <c:valAx>
        <c:axId val="1035228639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035240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[ProyectoFinal_Victor_DiSalvatore.xlsm]Prom_Tiros!TablaDinámica17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Promedio</a:t>
            </a:r>
            <a:r>
              <a:rPr lang="es-ES" b="1" baseline="0">
                <a:solidFill>
                  <a:schemeClr val="bg1"/>
                </a:solidFill>
              </a:rPr>
              <a:t> de Tiros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Prom_Tiros!$B$3</c:f>
              <c:strCache>
                <c:ptCount val="1"/>
                <c:pt idx="0">
                  <c:v>Promedio de Tiros_Atalanta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Prom_Tiros!$A$4:$A$5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Prom_Tiros!$B$4:$B$5</c:f>
              <c:numCache>
                <c:formatCode>0.00</c:formatCode>
                <c:ptCount val="1"/>
                <c:pt idx="0">
                  <c:v>13.111111111111111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97-452C-AF4A-2DF0A1D0F6CF}"/>
            </c:ext>
          </c:extLst>
        </c:ser>
        <c:ser>
          <c:idx val="1"/>
          <c:order val="1"/>
          <c:tx>
            <c:strRef>
              <c:f>Prom_Tiros!$C$3</c:f>
              <c:strCache>
                <c:ptCount val="1"/>
                <c:pt idx="0">
                  <c:v>Promedio de Tiros_Oponente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Prom_Tiros!$A$4:$A$5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Prom_Tiros!$C$4:$C$5</c:f>
              <c:numCache>
                <c:formatCode>0.00</c:formatCode>
                <c:ptCount val="1"/>
                <c:pt idx="0">
                  <c:v>12.888888888888889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97-452C-AF4A-2DF0A1D0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868847"/>
        <c:axId val="723330607"/>
      </c:barChart>
      <c:catAx>
        <c:axId val="71286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3330607"/>
        <c:crosses val="autoZero"/>
        <c:auto val="1"/>
        <c:lblAlgn val="ctr"/>
        <c:lblOffset val="100"/>
        <c:noMultiLvlLbl val="0"/>
      </c:catAx>
      <c:valAx>
        <c:axId val="7233306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712868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[ProyectoFinal_Victor_DiSalvatore.xlsm]Prom_goles!TablaDinámica3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Goles</a:t>
            </a:r>
            <a:r>
              <a:rPr lang="es-ES" b="1" baseline="0">
                <a:solidFill>
                  <a:schemeClr val="bg1"/>
                </a:solidFill>
              </a:rPr>
              <a:t> Atalanta vs oponente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solidFill>
              <a:srgbClr val="FF0000"/>
            </a:solidFill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Prom_goles!$B$3</c:f>
              <c:strCache>
                <c:ptCount val="1"/>
                <c:pt idx="0">
                  <c:v>Promedio de Goles_Atalanta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Prom_goles!$A$4:$A$5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Prom_goles!$B$4:$B$5</c:f>
              <c:numCache>
                <c:formatCode>0.00</c:formatCode>
                <c:ptCount val="1"/>
                <c:pt idx="0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4-4ED6-8F05-19B0FC7E0CB3}"/>
            </c:ext>
          </c:extLst>
        </c:ser>
        <c:ser>
          <c:idx val="1"/>
          <c:order val="1"/>
          <c:tx>
            <c:strRef>
              <c:f>Prom_goles!$C$3</c:f>
              <c:strCache>
                <c:ptCount val="1"/>
                <c:pt idx="0">
                  <c:v>Promedio de Goles_Oponente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Prom_goles!$A$4:$A$5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Prom_goles!$C$4:$C$5</c:f>
              <c:numCache>
                <c:formatCode>0.00</c:formatCode>
                <c:ptCount val="1"/>
                <c:pt idx="0">
                  <c:v>1.5555555555555556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04-4ED6-8F05-19B0FC7E0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7360896"/>
        <c:axId val="957361312"/>
      </c:barChart>
      <c:catAx>
        <c:axId val="95736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7361312"/>
        <c:crosses val="autoZero"/>
        <c:auto val="1"/>
        <c:lblAlgn val="ctr"/>
        <c:lblOffset val="100"/>
        <c:noMultiLvlLbl val="0"/>
      </c:catAx>
      <c:valAx>
        <c:axId val="95736131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573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[ProyectoFinal_Victor_DiSalvatore.xlsm]Gol_Primero_Segundo!TablaDinámica6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>
                <a:solidFill>
                  <a:schemeClr val="bg1"/>
                </a:solidFill>
              </a:rPr>
              <a:t>Prom</a:t>
            </a:r>
            <a:r>
              <a:rPr lang="es-ES" b="1" baseline="0">
                <a:solidFill>
                  <a:schemeClr val="bg1"/>
                </a:solidFill>
              </a:rPr>
              <a:t> Goles por Tiempo</a:t>
            </a:r>
            <a:endParaRPr lang="es-ES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831192771921786E-2"/>
          <c:y val="6.9566965689177446E-2"/>
          <c:w val="0.94531444195873726"/>
          <c:h val="0.841454484392510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Gol_Primero_Segundo!$B$3</c:f>
              <c:strCache>
                <c:ptCount val="1"/>
                <c:pt idx="0">
                  <c:v>Promedio de Gol_Primero_Atalanta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Gol_Primero_Segundo!$B$4:$B$5</c:f>
              <c:numCache>
                <c:formatCode>0.00</c:formatCode>
                <c:ptCount val="1"/>
                <c:pt idx="0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1-476C-BAEC-245C1A08EFEC}"/>
            </c:ext>
          </c:extLst>
        </c:ser>
        <c:ser>
          <c:idx val="1"/>
          <c:order val="1"/>
          <c:tx>
            <c:strRef>
              <c:f>Gol_Primero_Segundo!$C$3</c:f>
              <c:strCache>
                <c:ptCount val="1"/>
                <c:pt idx="0">
                  <c:v>Promedio de Gol_primero_oponente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Gol_Primero_Segundo!$C$4:$C$5</c:f>
              <c:numCache>
                <c:formatCode>0.00</c:formatCode>
                <c:ptCount val="1"/>
                <c:pt idx="0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1-476C-BAEC-245C1A08EFEC}"/>
            </c:ext>
          </c:extLst>
        </c:ser>
        <c:ser>
          <c:idx val="2"/>
          <c:order val="2"/>
          <c:tx>
            <c:strRef>
              <c:f>Gol_Primero_Segundo!$D$3</c:f>
              <c:strCache>
                <c:ptCount val="1"/>
                <c:pt idx="0">
                  <c:v>Promedio de Gol_Segundo_Atalanta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Gol_Primero_Segundo!$D$4:$D$5</c:f>
              <c:numCache>
                <c:formatCode>0.00</c:formatCode>
                <c:ptCount val="1"/>
                <c:pt idx="0">
                  <c:v>0.77777777777777779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1-476C-BAEC-245C1A08EFEC}"/>
            </c:ext>
          </c:extLst>
        </c:ser>
        <c:ser>
          <c:idx val="3"/>
          <c:order val="3"/>
          <c:tx>
            <c:strRef>
              <c:f>Gol_Primero_Segundo!$E$3</c:f>
              <c:strCache>
                <c:ptCount val="1"/>
                <c:pt idx="0">
                  <c:v>Promedio de Gol_Segundo_Oponente.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Gol_Primero_Segundo!$A$4:$A$5</c:f>
              <c:strCache>
                <c:ptCount val="1"/>
                <c:pt idx="0">
                  <c:v>AC Milan </c:v>
                </c:pt>
              </c:strCache>
            </c:strRef>
          </c:cat>
          <c:val>
            <c:numRef>
              <c:f>Gol_Primero_Segundo!$E$4:$E$5</c:f>
              <c:numCache>
                <c:formatCode>0.00</c:formatCode>
                <c:ptCount val="1"/>
                <c:pt idx="0">
                  <c:v>0.88888888888888884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1-476C-BAEC-245C1A08EFE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0480016"/>
        <c:axId val="749536480"/>
      </c:barChart>
      <c:catAx>
        <c:axId val="91048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49536480"/>
        <c:crosses val="autoZero"/>
        <c:auto val="1"/>
        <c:lblAlgn val="ctr"/>
        <c:lblOffset val="100"/>
        <c:noMultiLvlLbl val="0"/>
      </c:catAx>
      <c:valAx>
        <c:axId val="749536480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104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11947</xdr:rowOff>
    </xdr:from>
    <xdr:to>
      <xdr:col>27</xdr:col>
      <xdr:colOff>59531</xdr:colOff>
      <xdr:row>58</xdr:row>
      <xdr:rowOff>105711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4FC2049-B078-6390-D8E7-40C770D4B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47"/>
          <a:ext cx="21871781" cy="11285639"/>
        </a:xfrm>
        <a:prstGeom prst="rect">
          <a:avLst/>
        </a:prstGeom>
      </xdr:spPr>
    </xdr:pic>
    <xdr:clientData/>
  </xdr:twoCellAnchor>
  <xdr:twoCellAnchor editAs="oneCell">
    <xdr:from>
      <xdr:col>16</xdr:col>
      <xdr:colOff>272414</xdr:colOff>
      <xdr:row>5</xdr:row>
      <xdr:rowOff>77577</xdr:rowOff>
    </xdr:from>
    <xdr:to>
      <xdr:col>18</xdr:col>
      <xdr:colOff>537526</xdr:colOff>
      <xdr:row>17</xdr:row>
      <xdr:rowOff>12224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4" name="Lugar">
              <a:extLst>
                <a:ext uri="{FF2B5EF4-FFF2-40B4-BE49-F238E27FC236}">
                  <a16:creationId xmlns:a16="http://schemas.microsoft.com/office/drawing/2014/main" id="{CF69EF4B-EE10-4B70-8984-99BCE5AB21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ug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442632" y="970546"/>
              <a:ext cx="1836737" cy="24506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607219</xdr:colOff>
      <xdr:row>20</xdr:row>
      <xdr:rowOff>15757</xdr:rowOff>
    </xdr:from>
    <xdr:to>
      <xdr:col>24</xdr:col>
      <xdr:colOff>67151</xdr:colOff>
      <xdr:row>32</xdr:row>
      <xdr:rowOff>63858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Año 1">
              <a:extLst>
                <a:ext uri="{FF2B5EF4-FFF2-40B4-BE49-F238E27FC236}">
                  <a16:creationId xmlns:a16="http://schemas.microsoft.com/office/drawing/2014/main" id="{F89CFF62-A9E9-48A0-9788-B1453F3C5C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4594" y="4008161"/>
              <a:ext cx="1815465" cy="2457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779991</xdr:colOff>
      <xdr:row>19</xdr:row>
      <xdr:rowOff>213466</xdr:rowOff>
    </xdr:from>
    <xdr:to>
      <xdr:col>21</xdr:col>
      <xdr:colOff>213572</xdr:colOff>
      <xdr:row>32</xdr:row>
      <xdr:rowOff>32331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Mes 1">
              <a:extLst>
                <a:ext uri="{FF2B5EF4-FFF2-40B4-BE49-F238E27FC236}">
                  <a16:creationId xmlns:a16="http://schemas.microsoft.com/office/drawing/2014/main" id="{DC6EACEA-66E8-4C76-A21B-6307BA0BC3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23739" y="3972031"/>
              <a:ext cx="1783398" cy="24639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599123</xdr:colOff>
      <xdr:row>5</xdr:row>
      <xdr:rowOff>110966</xdr:rowOff>
    </xdr:from>
    <xdr:to>
      <xdr:col>24</xdr:col>
      <xdr:colOff>53340</xdr:colOff>
      <xdr:row>17</xdr:row>
      <xdr:rowOff>65722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Estación 1">
              <a:extLst>
                <a:ext uri="{FF2B5EF4-FFF2-40B4-BE49-F238E27FC236}">
                  <a16:creationId xmlns:a16="http://schemas.microsoft.com/office/drawing/2014/main" id="{E2481F1C-D9A2-46A9-A441-38AD6F4A55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ció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94593" y="1003935"/>
              <a:ext cx="1817370" cy="24650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235268</xdr:colOff>
      <xdr:row>1</xdr:row>
      <xdr:rowOff>21431</xdr:rowOff>
    </xdr:from>
    <xdr:ext cx="3514725" cy="704851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5401425-63FB-4957-8BEF-564B0418174F}"/>
            </a:ext>
          </a:extLst>
        </xdr:cNvPr>
        <xdr:cNvSpPr txBox="1"/>
      </xdr:nvSpPr>
      <xdr:spPr>
        <a:xfrm>
          <a:off x="9141143" y="200025"/>
          <a:ext cx="3514725" cy="704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600" b="1">
              <a:solidFill>
                <a:schemeClr val="bg1"/>
              </a:solidFill>
            </a:rPr>
            <a:t>Datos estadisticos Atalanta </a:t>
          </a:r>
        </a:p>
        <a:p>
          <a:pPr algn="ctr"/>
          <a:r>
            <a:rPr lang="es-ES" sz="1600" b="1">
              <a:solidFill>
                <a:schemeClr val="bg1"/>
              </a:solidFill>
            </a:rPr>
            <a:t>2020-2025</a:t>
          </a:r>
        </a:p>
      </xdr:txBody>
    </xdr:sp>
    <xdr:clientData/>
  </xdr:oneCellAnchor>
  <xdr:twoCellAnchor>
    <xdr:from>
      <xdr:col>0</xdr:col>
      <xdr:colOff>415290</xdr:colOff>
      <xdr:row>5</xdr:row>
      <xdr:rowOff>129541</xdr:rowOff>
    </xdr:from>
    <xdr:to>
      <xdr:col>4</xdr:col>
      <xdr:colOff>720091</xdr:colOff>
      <xdr:row>16</xdr:row>
      <xdr:rowOff>15240</xdr:rowOff>
    </xdr:to>
    <xdr:graphicFrame macro="">
      <xdr:nvGraphicFramePr>
        <xdr:cNvPr id="6" name="Tiros Atalanta">
          <a:extLst>
            <a:ext uri="{FF2B5EF4-FFF2-40B4-BE49-F238E27FC236}">
              <a16:creationId xmlns:a16="http://schemas.microsoft.com/office/drawing/2014/main" id="{DC306B32-49E4-429A-B81B-108116819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47625</xdr:colOff>
      <xdr:row>4</xdr:row>
      <xdr:rowOff>9525</xdr:rowOff>
    </xdr:from>
    <xdr:ext cx="1638300" cy="31149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FADB6FEC-0C23-498C-B626-C76709CE4EF4}"/>
            </a:ext>
          </a:extLst>
        </xdr:cNvPr>
        <xdr:cNvSpPr txBox="1"/>
      </xdr:nvSpPr>
      <xdr:spPr>
        <a:xfrm>
          <a:off x="47625" y="733425"/>
          <a:ext cx="16383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endParaRPr lang="es-ES" sz="1400"/>
        </a:p>
      </xdr:txBody>
    </xdr:sp>
    <xdr:clientData/>
  </xdr:oneCellAnchor>
  <xdr:twoCellAnchor>
    <xdr:from>
      <xdr:col>5</xdr:col>
      <xdr:colOff>167640</xdr:colOff>
      <xdr:row>5</xdr:row>
      <xdr:rowOff>55245</xdr:rowOff>
    </xdr:from>
    <xdr:to>
      <xdr:col>10</xdr:col>
      <xdr:colOff>782955</xdr:colOff>
      <xdr:row>15</xdr:row>
      <xdr:rowOff>66675</xdr:rowOff>
    </xdr:to>
    <xdr:graphicFrame macro="">
      <xdr:nvGraphicFramePr>
        <xdr:cNvPr id="8" name="Faltas Atalanta">
          <a:extLst>
            <a:ext uri="{FF2B5EF4-FFF2-40B4-BE49-F238E27FC236}">
              <a16:creationId xmlns:a16="http://schemas.microsoft.com/office/drawing/2014/main" id="{EF16E0E5-6751-4384-B431-CB1C82F0E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710405</xdr:colOff>
      <xdr:row>5</xdr:row>
      <xdr:rowOff>72708</xdr:rowOff>
    </xdr:from>
    <xdr:to>
      <xdr:col>21</xdr:col>
      <xdr:colOff>195421</xdr:colOff>
      <xdr:row>17</xdr:row>
      <xdr:rowOff>24500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Oponente 3">
              <a:extLst>
                <a:ext uri="{FF2B5EF4-FFF2-40B4-BE49-F238E27FC236}">
                  <a16:creationId xmlns:a16="http://schemas.microsoft.com/office/drawing/2014/main" id="{9240225E-4CC4-4916-97DC-40A16166A9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46533" y="965677"/>
              <a:ext cx="1848168" cy="2460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14</xdr:col>
      <xdr:colOff>137797</xdr:colOff>
      <xdr:row>22</xdr:row>
      <xdr:rowOff>64983</xdr:rowOff>
    </xdr:from>
    <xdr:ext cx="2177414" cy="342899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56EAC90-AD04-46D8-A953-09BC96ED617C}"/>
            </a:ext>
          </a:extLst>
        </xdr:cNvPr>
        <xdr:cNvSpPr txBox="1"/>
      </xdr:nvSpPr>
      <xdr:spPr>
        <a:xfrm>
          <a:off x="11832380" y="4584066"/>
          <a:ext cx="2177414" cy="3428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ES" sz="1400" b="1">
              <a:solidFill>
                <a:schemeClr val="bg1"/>
              </a:solidFill>
            </a:rPr>
            <a:t>Fecha Unico gol Venezia</a:t>
          </a:r>
        </a:p>
      </xdr:txBody>
    </xdr:sp>
    <xdr:clientData/>
  </xdr:oneCellAnchor>
  <xdr:twoCellAnchor>
    <xdr:from>
      <xdr:col>11</xdr:col>
      <xdr:colOff>685800</xdr:colOff>
      <xdr:row>2</xdr:row>
      <xdr:rowOff>135731</xdr:rowOff>
    </xdr:from>
    <xdr:to>
      <xdr:col>14</xdr:col>
      <xdr:colOff>662940</xdr:colOff>
      <xdr:row>2</xdr:row>
      <xdr:rowOff>135731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077BB906-A042-467C-971B-5770DA55AD5A}"/>
            </a:ext>
          </a:extLst>
        </xdr:cNvPr>
        <xdr:cNvCxnSpPr/>
      </xdr:nvCxnSpPr>
      <xdr:spPr>
        <a:xfrm>
          <a:off x="9591675" y="492919"/>
          <a:ext cx="2667953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283422</xdr:colOff>
      <xdr:row>24</xdr:row>
      <xdr:rowOff>36407</xdr:rowOff>
    </xdr:from>
    <xdr:to>
      <xdr:col>16</xdr:col>
      <xdr:colOff>565362</xdr:colOff>
      <xdr:row>24</xdr:row>
      <xdr:rowOff>36407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1D3E216F-0037-4056-8205-D94EA56D285D}"/>
            </a:ext>
          </a:extLst>
        </xdr:cNvPr>
        <xdr:cNvCxnSpPr/>
      </xdr:nvCxnSpPr>
      <xdr:spPr>
        <a:xfrm>
          <a:off x="11978005" y="4968240"/>
          <a:ext cx="186944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170604</xdr:colOff>
      <xdr:row>21</xdr:row>
      <xdr:rowOff>229446</xdr:rowOff>
    </xdr:from>
    <xdr:to>
      <xdr:col>16</xdr:col>
      <xdr:colOff>608754</xdr:colOff>
      <xdr:row>26</xdr:row>
      <xdr:rowOff>107738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8C5036F-72F7-4BD1-8BB4-A3DBEEC4E73B}"/>
            </a:ext>
          </a:extLst>
        </xdr:cNvPr>
        <xdr:cNvSpPr/>
      </xdr:nvSpPr>
      <xdr:spPr>
        <a:xfrm>
          <a:off x="11865187" y="4515696"/>
          <a:ext cx="2025650" cy="883709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13</xdr:col>
      <xdr:colOff>565573</xdr:colOff>
      <xdr:row>27</xdr:row>
      <xdr:rowOff>70697</xdr:rowOff>
    </xdr:from>
    <xdr:ext cx="2956560" cy="274320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D7450137-BA78-4E93-922E-D15C3A5D6B83}"/>
            </a:ext>
          </a:extLst>
        </xdr:cNvPr>
        <xdr:cNvSpPr txBox="1"/>
      </xdr:nvSpPr>
      <xdr:spPr>
        <a:xfrm>
          <a:off x="11466406" y="5542280"/>
          <a:ext cx="2956560" cy="274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ES" sz="1400" b="1">
              <a:solidFill>
                <a:schemeClr val="bg1"/>
              </a:solidFill>
            </a:rPr>
            <a:t>Mayor cantidad de goles Atalanta</a:t>
          </a:r>
          <a:r>
            <a:rPr lang="es-ES" sz="1400" b="1" baseline="0">
              <a:solidFill>
                <a:schemeClr val="bg1"/>
              </a:solidFill>
            </a:rPr>
            <a:t> vs </a:t>
          </a:r>
          <a:endParaRPr lang="es-ES" sz="1400" b="1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663787</xdr:colOff>
      <xdr:row>29</xdr:row>
      <xdr:rowOff>57150</xdr:rowOff>
    </xdr:from>
    <xdr:to>
      <xdr:col>17</xdr:col>
      <xdr:colOff>162772</xdr:colOff>
      <xdr:row>29</xdr:row>
      <xdr:rowOff>57150</xdr:rowOff>
    </xdr:to>
    <xdr:cxnSp macro="">
      <xdr:nvCxnSpPr>
        <xdr:cNvPr id="28" name="Conector recto 27">
          <a:extLst>
            <a:ext uri="{FF2B5EF4-FFF2-40B4-BE49-F238E27FC236}">
              <a16:creationId xmlns:a16="http://schemas.microsoft.com/office/drawing/2014/main" id="{A837C146-2634-4BBA-9001-2C975D151886}"/>
            </a:ext>
          </a:extLst>
        </xdr:cNvPr>
        <xdr:cNvCxnSpPr/>
      </xdr:nvCxnSpPr>
      <xdr:spPr>
        <a:xfrm>
          <a:off x="11564620" y="5888567"/>
          <a:ext cx="267398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585681</xdr:colOff>
      <xdr:row>27</xdr:row>
      <xdr:rowOff>32597</xdr:rowOff>
    </xdr:from>
    <xdr:to>
      <xdr:col>17</xdr:col>
      <xdr:colOff>214206</xdr:colOff>
      <xdr:row>34</xdr:row>
      <xdr:rowOff>147531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50CE1A86-AB5A-4962-8982-72058A905BA8}"/>
            </a:ext>
          </a:extLst>
        </xdr:cNvPr>
        <xdr:cNvSpPr/>
      </xdr:nvSpPr>
      <xdr:spPr>
        <a:xfrm>
          <a:off x="11486514" y="5504180"/>
          <a:ext cx="2803525" cy="1374351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14</xdr:col>
      <xdr:colOff>554082</xdr:colOff>
      <xdr:row>35</xdr:row>
      <xdr:rowOff>160383</xdr:rowOff>
    </xdr:from>
    <xdr:ext cx="1282066" cy="311496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ACBE2AD-C17D-4150-89DB-B82DBB4EEB90}"/>
            </a:ext>
          </a:extLst>
        </xdr:cNvPr>
        <xdr:cNvSpPr txBox="1"/>
      </xdr:nvSpPr>
      <xdr:spPr>
        <a:xfrm>
          <a:off x="12248665" y="7071300"/>
          <a:ext cx="128206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ES" sz="1400" b="1">
              <a:solidFill>
                <a:schemeClr val="bg1"/>
              </a:solidFill>
            </a:rPr>
            <a:t>Resultados vs</a:t>
          </a:r>
        </a:p>
      </xdr:txBody>
    </xdr:sp>
    <xdr:clientData/>
  </xdr:oneCellAnchor>
  <xdr:twoCellAnchor>
    <xdr:from>
      <xdr:col>13</xdr:col>
      <xdr:colOff>668868</xdr:colOff>
      <xdr:row>35</xdr:row>
      <xdr:rowOff>88598</xdr:rowOff>
    </xdr:from>
    <xdr:to>
      <xdr:col>17</xdr:col>
      <xdr:colOff>93558</xdr:colOff>
      <xdr:row>41</xdr:row>
      <xdr:rowOff>159627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048B9071-4FA1-482C-BF79-2F947E727DE9}"/>
            </a:ext>
          </a:extLst>
        </xdr:cNvPr>
        <xdr:cNvSpPr/>
      </xdr:nvSpPr>
      <xdr:spPr>
        <a:xfrm>
          <a:off x="11569701" y="6999515"/>
          <a:ext cx="2599690" cy="120344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43482</xdr:colOff>
      <xdr:row>37</xdr:row>
      <xdr:rowOff>132080</xdr:rowOff>
    </xdr:from>
    <xdr:to>
      <xdr:col>16</xdr:col>
      <xdr:colOff>703156</xdr:colOff>
      <xdr:row>37</xdr:row>
      <xdr:rowOff>132080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8F49D524-B0E7-4335-A571-C83481EFEB59}"/>
            </a:ext>
          </a:extLst>
        </xdr:cNvPr>
        <xdr:cNvCxnSpPr/>
      </xdr:nvCxnSpPr>
      <xdr:spPr>
        <a:xfrm flipV="1">
          <a:off x="11738065" y="7402830"/>
          <a:ext cx="2247174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312420</xdr:colOff>
      <xdr:row>5</xdr:row>
      <xdr:rowOff>66675</xdr:rowOff>
    </xdr:from>
    <xdr:to>
      <xdr:col>15</xdr:col>
      <xdr:colOff>139065</xdr:colOff>
      <xdr:row>16</xdr:row>
      <xdr:rowOff>91440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9300DD50-E477-4F8D-85A0-1C9209FC0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445770</xdr:colOff>
      <xdr:row>20</xdr:row>
      <xdr:rowOff>26670</xdr:rowOff>
    </xdr:from>
    <xdr:to>
      <xdr:col>5</xdr:col>
      <xdr:colOff>352425</xdr:colOff>
      <xdr:row>32</xdr:row>
      <xdr:rowOff>38100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C2D68CF-C0F3-4A79-A0DF-996914DC8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381000</xdr:colOff>
      <xdr:row>19</xdr:row>
      <xdr:rowOff>142875</xdr:rowOff>
    </xdr:from>
    <xdr:to>
      <xdr:col>11</xdr:col>
      <xdr:colOff>47625</xdr:colOff>
      <xdr:row>31</xdr:row>
      <xdr:rowOff>91440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D4452E89-EBA5-4B6F-BE69-2B0A51C7F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619125</xdr:colOff>
      <xdr:row>35</xdr:row>
      <xdr:rowOff>28575</xdr:rowOff>
    </xdr:from>
    <xdr:to>
      <xdr:col>6</xdr:col>
      <xdr:colOff>196215</xdr:colOff>
      <xdr:row>50</xdr:row>
      <xdr:rowOff>53340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C7386E73-F845-4079-84DC-5B9CACAC2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409575</xdr:colOff>
      <xdr:row>35</xdr:row>
      <xdr:rowOff>0</xdr:rowOff>
    </xdr:from>
    <xdr:to>
      <xdr:col>13</xdr:col>
      <xdr:colOff>440055</xdr:colOff>
      <xdr:row>50</xdr:row>
      <xdr:rowOff>20955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1DC78B0-CD28-4139-9CE5-EB6730C3C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110490</xdr:colOff>
      <xdr:row>2</xdr:row>
      <xdr:rowOff>160020</xdr:rowOff>
    </xdr:from>
    <xdr:to>
      <xdr:col>6</xdr:col>
      <xdr:colOff>360045</xdr:colOff>
      <xdr:row>16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Oponente 2">
              <a:extLst>
                <a:ext uri="{FF2B5EF4-FFF2-40B4-BE49-F238E27FC236}">
                  <a16:creationId xmlns:a16="http://schemas.microsoft.com/office/drawing/2014/main" id="{CA20047D-BFD0-4FA9-9C72-DF128EED8B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9765" y="523875"/>
              <a:ext cx="1834515" cy="24631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55245</xdr:colOff>
      <xdr:row>2</xdr:row>
      <xdr:rowOff>133350</xdr:rowOff>
    </xdr:from>
    <xdr:to>
      <xdr:col>5</xdr:col>
      <xdr:colOff>59055</xdr:colOff>
      <xdr:row>16</xdr:row>
      <xdr:rowOff>59055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Oponente">
              <a:extLst>
                <a:ext uri="{FF2B5EF4-FFF2-40B4-BE49-F238E27FC236}">
                  <a16:creationId xmlns:a16="http://schemas.microsoft.com/office/drawing/2014/main" id="{7F75819E-14A2-40AF-A604-2829637210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on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5055" y="491490"/>
              <a:ext cx="182499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586740</xdr:colOff>
      <xdr:row>2</xdr:row>
      <xdr:rowOff>93345</xdr:rowOff>
    </xdr:from>
    <xdr:to>
      <xdr:col>8</xdr:col>
      <xdr:colOff>20955</xdr:colOff>
      <xdr:row>16</xdr:row>
      <xdr:rowOff>53340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es">
              <a:extLst>
                <a:ext uri="{FF2B5EF4-FFF2-40B4-BE49-F238E27FC236}">
                  <a16:creationId xmlns:a16="http://schemas.microsoft.com/office/drawing/2014/main" id="{D88C555B-5BB9-F673-6341-BC391538DC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15350" y="459105"/>
              <a:ext cx="1798320" cy="24936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30480</xdr:colOff>
      <xdr:row>17</xdr:row>
      <xdr:rowOff>76200</xdr:rowOff>
    </xdr:from>
    <xdr:to>
      <xdr:col>5</xdr:col>
      <xdr:colOff>20955</xdr:colOff>
      <xdr:row>31</xdr:row>
      <xdr:rowOff>15240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Estación">
              <a:extLst>
                <a:ext uri="{FF2B5EF4-FFF2-40B4-BE49-F238E27FC236}">
                  <a16:creationId xmlns:a16="http://schemas.microsoft.com/office/drawing/2014/main" id="{F3829947-2826-FCC5-6537-0D09E009CB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ció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24575" y="3152775"/>
              <a:ext cx="1817370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687705</xdr:colOff>
      <xdr:row>17</xdr:row>
      <xdr:rowOff>142875</xdr:rowOff>
    </xdr:from>
    <xdr:to>
      <xdr:col>8</xdr:col>
      <xdr:colOff>135255</xdr:colOff>
      <xdr:row>31</xdr:row>
      <xdr:rowOff>76200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Año">
              <a:extLst>
                <a:ext uri="{FF2B5EF4-FFF2-40B4-BE49-F238E27FC236}">
                  <a16:creationId xmlns:a16="http://schemas.microsoft.com/office/drawing/2014/main" id="{3FE0FC83-A933-5BBA-FB62-3DC76E52B1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12505" y="3217545"/>
              <a:ext cx="1815465" cy="24688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di salvatore" refreshedDate="45761.763633680559" createdVersion="7" refreshedVersion="8" minRefreshableVersion="3" recordCount="177" xr:uid="{3508E82B-0BA7-4E3E-987B-A4989F8E7EA0}">
  <cacheSource type="worksheet">
    <worksheetSource ref="A1:AR1048576" sheet="Atalanta"/>
  </cacheSource>
  <cacheFields count="44">
    <cacheField name="Fecha" numFmtId="0">
      <sharedItems containsBlank="1"/>
    </cacheField>
    <cacheField name="Año" numFmtId="0">
      <sharedItems containsString="0" containsBlank="1" containsNumber="1" containsInteger="1" minValue="2020" maxValue="2025" count="7">
        <n v="2020"/>
        <n v="2021"/>
        <n v="2022"/>
        <n v="2023"/>
        <n v="2024"/>
        <n v="2025"/>
        <m/>
      </sharedItems>
    </cacheField>
    <cacheField name="Mes" numFmtId="0">
      <sharedItems containsBlank="1" count="12">
        <s v="Sep"/>
        <s v="Oct"/>
        <s v="Nov"/>
        <s v="Jan"/>
        <s v="Dec"/>
        <s v="Feb"/>
        <s v="Mar"/>
        <s v="Apr"/>
        <s v="May"/>
        <s v="Aug"/>
        <s v="Jun"/>
        <m/>
      </sharedItems>
    </cacheField>
    <cacheField name="Estación" numFmtId="0">
      <sharedItems containsBlank="1" count="5">
        <s v="Otoño"/>
        <s v="Invierno"/>
        <s v="Primavera"/>
        <s v="Verano"/>
        <m/>
      </sharedItems>
    </cacheField>
    <cacheField name="horario" numFmtId="0">
      <sharedItems containsDate="1" containsBlank="1" containsMixedTypes="1" minDate="1899-12-30T15:00:00" maxDate="1899-12-30T18:00:00"/>
    </cacheField>
    <cacheField name="Lugar" numFmtId="0">
      <sharedItems containsBlank="1" count="3">
        <s v="A"/>
        <s v="H"/>
        <m/>
      </sharedItems>
    </cacheField>
    <cacheField name="Oponente" numFmtId="0">
      <sharedItems containsBlank="1" count="28">
        <s v="Lazio "/>
        <s v="Torino "/>
        <s v="Cagliari Calcio "/>
        <s v="Napoli "/>
        <s v="Sampdoria "/>
        <s v="Crotone "/>
        <s v="Inter "/>
        <s v="Spezia Calcio "/>
        <s v="Hellas Verona "/>
        <s v="Udinese Calcio "/>
        <s v="Fiorentina "/>
        <s v="Juventus"/>
        <s v="AS Roma "/>
        <s v="Bologna "/>
        <s v="Sassuolo "/>
        <s v="Parma "/>
        <s v="Benevento "/>
        <s v="Genoa "/>
        <s v="AC Milan "/>
        <s v="Salernitana "/>
        <s v="FC Empoli "/>
        <s v="Venezia"/>
        <s v="Monza "/>
        <s v="Cremonese "/>
        <s v="Lecce "/>
        <s v="Frosinone "/>
        <s v="Como"/>
        <m/>
      </sharedItems>
    </cacheField>
    <cacheField name="Formacion" numFmtId="0">
      <sharedItems containsBlank="1"/>
    </cacheField>
    <cacheField name="Resultado" numFmtId="0">
      <sharedItems containsBlank="1"/>
    </cacheField>
    <cacheField name="total_tiros_local" numFmtId="0">
      <sharedItems containsString="0" containsBlank="1" containsNumber="1" containsInteger="1" minValue="0" maxValue="40"/>
    </cacheField>
    <cacheField name="total_tiros_visitante" numFmtId="0">
      <sharedItems containsString="0" containsBlank="1" containsNumber="1" containsInteger="1" minValue="0" maxValue="27"/>
    </cacheField>
    <cacheField name="Tiros_Atalanta" numFmtId="0">
      <sharedItems containsString="0" containsBlank="1" containsNumber="1" containsInteger="1" minValue="0" maxValue="40"/>
    </cacheField>
    <cacheField name="Tiros_Oponente" numFmtId="0">
      <sharedItems containsString="0" containsBlank="1" containsNumber="1" containsInteger="1" minValue="0" maxValue="21"/>
    </cacheField>
    <cacheField name="Tiros_puerta_local" numFmtId="0">
      <sharedItems containsString="0" containsBlank="1" containsNumber="1" containsInteger="1" minValue="0" maxValue="14"/>
    </cacheField>
    <cacheField name="tiros_puerta_visitante" numFmtId="0">
      <sharedItems containsString="0" containsBlank="1" containsNumber="1" containsInteger="1" minValue="0" maxValue="11"/>
    </cacheField>
    <cacheField name="Tiros_puerta_Atalanta" numFmtId="0">
      <sharedItems containsString="0" containsBlank="1" containsNumber="1" containsInteger="1" minValue="0" maxValue="14"/>
    </cacheField>
    <cacheField name="Tiros_puerta_visita" numFmtId="0">
      <sharedItems containsString="0" containsBlank="1" containsNumber="1" containsInteger="1" minValue="0" maxValue="9"/>
    </cacheField>
    <cacheField name="Posesion_local" numFmtId="0">
      <sharedItems containsString="0" containsBlank="1" containsNumber="1" containsInteger="1" minValue="0" maxValue="72"/>
    </cacheField>
    <cacheField name="Posesion_visitante" numFmtId="0">
      <sharedItems containsString="0" containsBlank="1" containsNumber="1" containsInteger="1" minValue="0" maxValue="69"/>
    </cacheField>
    <cacheField name="Posesion_Atalanta" numFmtId="164">
      <sharedItems containsString="0" containsBlank="1" containsNumber="1" containsInteger="1" minValue="0" maxValue="72"/>
    </cacheField>
    <cacheField name="Posesion_Oponente" numFmtId="0">
      <sharedItems containsString="0" containsBlank="1" containsNumber="1" containsInteger="1" minValue="0" maxValue="68"/>
    </cacheField>
    <cacheField name="corner_local" numFmtId="0">
      <sharedItems containsString="0" containsBlank="1" containsNumber="1" containsInteger="1" minValue="0" maxValue="15"/>
    </cacheField>
    <cacheField name="corner_visitante" numFmtId="0">
      <sharedItems containsString="0" containsBlank="1" containsNumber="1" containsInteger="1" minValue="0" maxValue="11"/>
    </cacheField>
    <cacheField name="faltas_local" numFmtId="0">
      <sharedItems containsString="0" containsBlank="1" containsNumber="1" containsInteger="1" minValue="0" maxValue="23"/>
    </cacheField>
    <cacheField name="faltas_visitante" numFmtId="0">
      <sharedItems containsString="0" containsBlank="1" containsNumber="1" containsInteger="1" minValue="0" maxValue="26"/>
    </cacheField>
    <cacheField name="Corners_Atalanta" numFmtId="0">
      <sharedItems containsString="0" containsBlank="1" containsNumber="1" containsInteger="1" minValue="0" maxValue="15"/>
    </cacheField>
    <cacheField name="Corners_Oponente" numFmtId="0">
      <sharedItems containsString="0" containsBlank="1" containsNumber="1" containsInteger="1" minValue="0" maxValue="9"/>
    </cacheField>
    <cacheField name="Faltas_Atalanta" numFmtId="0">
      <sharedItems containsString="0" containsBlank="1" containsNumber="1" containsInteger="1" minValue="0" maxValue="26"/>
    </cacheField>
    <cacheField name="Faltas_visitante2" numFmtId="0">
      <sharedItems containsString="0" containsBlank="1" containsNumber="1" containsInteger="1" minValue="0" maxValue="23"/>
    </cacheField>
    <cacheField name="fuera_local" numFmtId="0">
      <sharedItems containsString="0" containsBlank="1" containsNumber="1" containsInteger="1" minValue="0" maxValue="6"/>
    </cacheField>
    <cacheField name="fuera_visitante" numFmtId="0">
      <sharedItems containsString="0" containsBlank="1" containsNumber="1" containsInteger="1" minValue="0" maxValue="6"/>
    </cacheField>
    <cacheField name="Arbitro" numFmtId="0">
      <sharedItems containsBlank="1"/>
    </cacheField>
    <cacheField name="Gol_local_primero" numFmtId="0">
      <sharedItems containsString="0" containsBlank="1" containsNumber="1" containsInteger="1" minValue="0" maxValue="6"/>
    </cacheField>
    <cacheField name="Gol_Primero_Atalanta" numFmtId="0">
      <sharedItems containsString="0" containsBlank="1" containsNumber="1" containsInteger="1" minValue="0" maxValue="6"/>
    </cacheField>
    <cacheField name="Gol_Primero_oponente" numFmtId="0">
      <sharedItems containsString="0" containsBlank="1" containsNumber="1" containsInteger="1" minValue="0" maxValue="4"/>
    </cacheField>
    <cacheField name="Gol_visitante_primero" numFmtId="0">
      <sharedItems containsString="0" containsBlank="1" containsNumber="1" containsInteger="1" minValue="0" maxValue="3"/>
    </cacheField>
    <cacheField name="Gol_local_segundo" numFmtId="0">
      <sharedItems containsString="0" containsBlank="1" containsNumber="1" containsInteger="1" minValue="0" maxValue="4"/>
    </cacheField>
    <cacheField name="Gol_Segundo_Atalanta" numFmtId="0">
      <sharedItems containsString="0" containsBlank="1" containsNumber="1" containsInteger="1" minValue="0" maxValue="4"/>
    </cacheField>
    <cacheField name="Gol_Segundo_Oponente." numFmtId="0">
      <sharedItems containsString="0" containsBlank="1" containsNumber="1" containsInteger="1" minValue="0" maxValue="3"/>
    </cacheField>
    <cacheField name="Gol_visitante_segundo" numFmtId="0">
      <sharedItems containsString="0" containsBlank="1" containsNumber="1" containsInteger="1" minValue="0" maxValue="4"/>
    </cacheField>
    <cacheField name="Ranking_oponente" numFmtId="0">
      <sharedItems containsBlank="1"/>
    </cacheField>
    <cacheField name="Goles_Atalanta" numFmtId="0">
      <sharedItems containsString="0" containsBlank="1" containsNumber="1" containsInteger="1" minValue="0" maxValue="8"/>
    </cacheField>
    <cacheField name="Goles_Oponente" numFmtId="0">
      <sharedItems containsString="0" containsBlank="1" containsNumber="1" containsInteger="1" minValue="0" maxValue="4"/>
    </cacheField>
    <cacheField name="Estado_Partido" numFmtId="0">
      <sharedItems containsBlank="1" count="4">
        <s v="Victoria"/>
        <s v="Derrota"/>
        <s v="Empate"/>
        <m/>
      </sharedItems>
    </cacheField>
  </cacheFields>
  <extLst>
    <ext xmlns:x14="http://schemas.microsoft.com/office/spreadsheetml/2009/9/main" uri="{725AE2AE-9491-48be-B2B4-4EB974FC3084}">
      <x14:pivotCacheDefinition pivotCacheId="6921318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">
  <r>
    <s v="Wed Sep 30, 2020"/>
    <x v="0"/>
    <x v="0"/>
    <x v="0"/>
    <s v="20:45:00"/>
    <x v="0"/>
    <x v="0"/>
    <s v="3-4-2-1"/>
    <s v="1:4"/>
    <n v="14"/>
    <n v="10"/>
    <n v="10"/>
    <n v="14"/>
    <n v="5"/>
    <n v="1"/>
    <n v="1"/>
    <n v="5"/>
    <n v="61"/>
    <n v="39"/>
    <n v="39"/>
    <n v="61"/>
    <n v="7"/>
    <n v="3"/>
    <n v="16"/>
    <n v="11"/>
    <n v="3"/>
    <n v="7"/>
    <n v="11"/>
    <n v="16"/>
    <n v="0"/>
    <n v="0"/>
    <s v="Fabrio Maresca"/>
    <n v="0"/>
    <n v="3"/>
    <n v="0"/>
    <n v="3"/>
    <n v="1"/>
    <n v="1"/>
    <n v="1"/>
    <n v="1"/>
    <s v="6."/>
    <n v="4"/>
    <n v="1"/>
    <x v="0"/>
  </r>
  <r>
    <s v="Sat Sep 26, 2020"/>
    <x v="0"/>
    <x v="0"/>
    <x v="0"/>
    <s v="15:00:00"/>
    <x v="0"/>
    <x v="1"/>
    <s v="3-4-1-2"/>
    <s v="2:4"/>
    <n v="7"/>
    <n v="19"/>
    <n v="19"/>
    <n v="7"/>
    <n v="1"/>
    <n v="8"/>
    <n v="8"/>
    <n v="1"/>
    <n v="44"/>
    <n v="56"/>
    <n v="56"/>
    <n v="44"/>
    <n v="2"/>
    <n v="6"/>
    <n v="11"/>
    <n v="12"/>
    <n v="6"/>
    <n v="2"/>
    <n v="12"/>
    <n v="11"/>
    <n v="2"/>
    <n v="2"/>
    <s v="Massimiliano Irrati"/>
    <n v="2"/>
    <n v="3"/>
    <n v="2"/>
    <n v="3"/>
    <n v="0"/>
    <n v="1"/>
    <n v="0"/>
    <n v="1"/>
    <s v="12."/>
    <n v="4"/>
    <n v="2"/>
    <x v="0"/>
  </r>
  <r>
    <s v="Sun Oct 4, 2020"/>
    <x v="0"/>
    <x v="1"/>
    <x v="0"/>
    <s v="12:30:00"/>
    <x v="1"/>
    <x v="2"/>
    <s v="3-4-1-2"/>
    <s v="5:2"/>
    <n v="21"/>
    <n v="12"/>
    <n v="21"/>
    <n v="12"/>
    <n v="5"/>
    <n v="4"/>
    <n v="5"/>
    <n v="4"/>
    <n v="59"/>
    <n v="41"/>
    <n v="59"/>
    <n v="41"/>
    <n v="3"/>
    <n v="9"/>
    <n v="11"/>
    <n v="9"/>
    <n v="3"/>
    <n v="9"/>
    <n v="11"/>
    <n v="9"/>
    <n v="2"/>
    <n v="0"/>
    <s v="fabrizio Pasqua"/>
    <n v="4"/>
    <n v="4"/>
    <n v="1"/>
    <n v="1"/>
    <n v="1"/>
    <n v="1"/>
    <n v="1"/>
    <n v="1"/>
    <s v="14."/>
    <n v="5"/>
    <n v="2"/>
    <x v="0"/>
  </r>
  <r>
    <s v="Sat Oct 17, 2020"/>
    <x v="0"/>
    <x v="1"/>
    <x v="0"/>
    <s v="15:00:00"/>
    <x v="0"/>
    <x v="3"/>
    <s v="3-4-1-2"/>
    <s v="4:1"/>
    <n v="19"/>
    <n v="13"/>
    <n v="13"/>
    <n v="19"/>
    <n v="4"/>
    <n v="8"/>
    <n v="8"/>
    <n v="4"/>
    <n v="49"/>
    <n v="51"/>
    <n v="51"/>
    <n v="49"/>
    <n v="6"/>
    <n v="2"/>
    <n v="12"/>
    <n v="23"/>
    <n v="2"/>
    <n v="6"/>
    <n v="23"/>
    <n v="12"/>
    <n v="1"/>
    <n v="1"/>
    <s v="Marco Di bello"/>
    <n v="4"/>
    <n v="0"/>
    <n v="4"/>
    <n v="0"/>
    <n v="0"/>
    <n v="1"/>
    <n v="0"/>
    <n v="1"/>
    <s v="6."/>
    <n v="1"/>
    <n v="4"/>
    <x v="1"/>
  </r>
  <r>
    <s v="Sat Oct 24, 2020"/>
    <x v="0"/>
    <x v="1"/>
    <x v="0"/>
    <s v="15:00:00"/>
    <x v="1"/>
    <x v="4"/>
    <s v="3-4-1-2"/>
    <s v="1:3"/>
    <n v="20"/>
    <n v="7"/>
    <n v="20"/>
    <n v="7"/>
    <n v="7"/>
    <n v="1"/>
    <n v="7"/>
    <n v="1"/>
    <n v="66"/>
    <n v="34"/>
    <n v="66"/>
    <n v="34"/>
    <n v="3"/>
    <n v="1"/>
    <n v="12"/>
    <n v="19"/>
    <n v="3"/>
    <n v="1"/>
    <n v="12"/>
    <n v="19"/>
    <n v="1"/>
    <n v="0"/>
    <s v="Gianpaolo Calvarese"/>
    <n v="0"/>
    <n v="0"/>
    <n v="1"/>
    <n v="1"/>
    <n v="1"/>
    <n v="1"/>
    <n v="2"/>
    <n v="2"/>
    <s v="10."/>
    <n v="1"/>
    <n v="3"/>
    <x v="1"/>
  </r>
  <r>
    <s v="Sat Oct 31, 2020"/>
    <x v="0"/>
    <x v="1"/>
    <x v="0"/>
    <s v="15:00:00"/>
    <x v="0"/>
    <x v="5"/>
    <s v="3-4-2-1"/>
    <s v="1:2"/>
    <n v="6"/>
    <n v="19"/>
    <n v="19"/>
    <n v="6"/>
    <n v="3"/>
    <n v="11"/>
    <n v="11"/>
    <n v="3"/>
    <n v="41"/>
    <n v="59"/>
    <n v="59"/>
    <n v="41"/>
    <n v="1"/>
    <n v="3"/>
    <n v="11"/>
    <n v="22"/>
    <n v="3"/>
    <n v="1"/>
    <n v="22"/>
    <n v="11"/>
    <n v="2"/>
    <n v="1"/>
    <s v="federico Dionisi"/>
    <n v="1"/>
    <n v="2"/>
    <n v="1"/>
    <n v="2"/>
    <n v="0"/>
    <n v="0"/>
    <n v="0"/>
    <n v="0"/>
    <s v="20."/>
    <n v="2"/>
    <n v="1"/>
    <x v="0"/>
  </r>
  <r>
    <s v="Sun Nov 8, 2020"/>
    <x v="0"/>
    <x v="2"/>
    <x v="0"/>
    <s v="15:00:00"/>
    <x v="1"/>
    <x v="6"/>
    <s v="3-4-2-1"/>
    <s v="1:1"/>
    <n v="9"/>
    <n v="10"/>
    <n v="9"/>
    <n v="10"/>
    <n v="4"/>
    <n v="5"/>
    <n v="4"/>
    <n v="5"/>
    <n v="53"/>
    <n v="47"/>
    <n v="53"/>
    <n v="47"/>
    <n v="2"/>
    <n v="5"/>
    <n v="15"/>
    <n v="13"/>
    <n v="2"/>
    <n v="5"/>
    <n v="15"/>
    <n v="13"/>
    <n v="1"/>
    <n v="0"/>
    <s v="Daniele Doveri"/>
    <n v="1"/>
    <n v="1"/>
    <n v="1"/>
    <n v="1"/>
    <n v="0"/>
    <n v="0"/>
    <n v="0"/>
    <n v="0"/>
    <s v="6."/>
    <n v="1"/>
    <n v="1"/>
    <x v="2"/>
  </r>
  <r>
    <s v="Sat Nov 21, 2020"/>
    <x v="0"/>
    <x v="2"/>
    <x v="0"/>
    <s v="18:00:00"/>
    <x v="0"/>
    <x v="7"/>
    <s v="3-4-1-2"/>
    <s v="0:0"/>
    <n v="9"/>
    <n v="11"/>
    <n v="11"/>
    <n v="9"/>
    <n v="3"/>
    <n v="4"/>
    <n v="4"/>
    <n v="3"/>
    <n v="55"/>
    <n v="45"/>
    <n v="45"/>
    <n v="55"/>
    <n v="1"/>
    <n v="2"/>
    <n v="19"/>
    <n v="18"/>
    <n v="2"/>
    <n v="1"/>
    <n v="18"/>
    <n v="19"/>
    <n v="2"/>
    <n v="5"/>
    <s v="Anotio Rapuano"/>
    <n v="0"/>
    <n v="0"/>
    <n v="0"/>
    <n v="0"/>
    <n v="0"/>
    <n v="0"/>
    <n v="0"/>
    <n v="0"/>
    <s v="13."/>
    <n v="0"/>
    <n v="0"/>
    <x v="2"/>
  </r>
  <r>
    <s v="Sat Nov 28, 2020"/>
    <x v="0"/>
    <x v="2"/>
    <x v="0"/>
    <s v="20:45:00"/>
    <x v="1"/>
    <x v="8"/>
    <s v="3-4-2-1"/>
    <s v="0:2"/>
    <n v="20"/>
    <n v="7"/>
    <n v="20"/>
    <n v="7"/>
    <n v="11"/>
    <n v="5"/>
    <n v="11"/>
    <n v="5"/>
    <n v="58"/>
    <n v="42"/>
    <n v="58"/>
    <n v="42"/>
    <n v="4"/>
    <n v="1"/>
    <n v="12"/>
    <n v="15"/>
    <n v="4"/>
    <n v="1"/>
    <n v="12"/>
    <n v="15"/>
    <n v="2"/>
    <n v="1"/>
    <s v="Davide Massa"/>
    <n v="0"/>
    <n v="0"/>
    <n v="0"/>
    <n v="0"/>
    <n v="0"/>
    <n v="0"/>
    <n v="2"/>
    <n v="2"/>
    <s v="9."/>
    <n v="0"/>
    <n v="2"/>
    <x v="1"/>
  </r>
  <r>
    <s v="Wed Jan 20, 2021"/>
    <x v="1"/>
    <x v="3"/>
    <x v="1"/>
    <s v="15:00:00"/>
    <x v="0"/>
    <x v="9"/>
    <s v="3-4-2-1"/>
    <s v="1:1"/>
    <n v="6"/>
    <n v="17"/>
    <n v="17"/>
    <n v="6"/>
    <n v="4"/>
    <n v="8"/>
    <n v="8"/>
    <n v="4"/>
    <n v="34"/>
    <n v="66"/>
    <n v="66"/>
    <n v="34"/>
    <n v="2"/>
    <n v="7"/>
    <n v="20"/>
    <n v="26"/>
    <n v="7"/>
    <n v="2"/>
    <n v="26"/>
    <n v="20"/>
    <n v="0"/>
    <n v="0"/>
    <s v="Gianpaolo Calvarese"/>
    <n v="1"/>
    <n v="1"/>
    <n v="1"/>
    <n v="1"/>
    <n v="0"/>
    <n v="0"/>
    <n v="0"/>
    <n v="0"/>
    <s v="14."/>
    <n v="1"/>
    <n v="1"/>
    <x v="2"/>
  </r>
  <r>
    <s v="Sun Dec 13, 2020"/>
    <x v="0"/>
    <x v="4"/>
    <x v="1"/>
    <s v="15:00:00"/>
    <x v="1"/>
    <x v="10"/>
    <s v="3-4-2-1"/>
    <s v="3:0"/>
    <n v="20"/>
    <n v="4"/>
    <n v="20"/>
    <n v="4"/>
    <n v="3"/>
    <n v="2"/>
    <n v="3"/>
    <n v="2"/>
    <n v="53"/>
    <n v="47"/>
    <n v="53"/>
    <n v="47"/>
    <n v="11"/>
    <n v="2"/>
    <n v="17"/>
    <n v="13"/>
    <n v="11"/>
    <n v="2"/>
    <n v="17"/>
    <n v="13"/>
    <n v="3"/>
    <n v="0"/>
    <s v="Maurizio Mariani"/>
    <n v="1"/>
    <n v="1"/>
    <n v="0"/>
    <n v="0"/>
    <n v="2"/>
    <n v="2"/>
    <n v="0"/>
    <n v="0"/>
    <s v="17."/>
    <n v="3"/>
    <n v="0"/>
    <x v="0"/>
  </r>
  <r>
    <s v="Wed Dec 16, 2020"/>
    <x v="0"/>
    <x v="4"/>
    <x v="1"/>
    <s v="18:30:00"/>
    <x v="0"/>
    <x v="11"/>
    <s v="3-4-2-1"/>
    <s v="1:1"/>
    <n v="12"/>
    <n v="15"/>
    <n v="15"/>
    <n v="12"/>
    <n v="4"/>
    <n v="5"/>
    <n v="5"/>
    <n v="4"/>
    <n v="54"/>
    <n v="46"/>
    <n v="46"/>
    <n v="54"/>
    <n v="2"/>
    <n v="6"/>
    <n v="14"/>
    <n v="18"/>
    <n v="6"/>
    <n v="2"/>
    <n v="18"/>
    <n v="14"/>
    <n v="2"/>
    <n v="0"/>
    <s v="Daniele Doveri"/>
    <n v="1"/>
    <n v="0"/>
    <n v="1"/>
    <n v="0"/>
    <n v="0"/>
    <n v="1"/>
    <n v="0"/>
    <n v="1"/>
    <s v="4."/>
    <n v="1"/>
    <n v="1"/>
    <x v="2"/>
  </r>
  <r>
    <s v="Sun Dec 20, 2020"/>
    <x v="0"/>
    <x v="4"/>
    <x v="1"/>
    <s v="18:00:00"/>
    <x v="1"/>
    <x v="12"/>
    <s v="3-4-2-1"/>
    <s v="4:1"/>
    <n v="14"/>
    <n v="5"/>
    <n v="14"/>
    <n v="5"/>
    <n v="1"/>
    <n v="2"/>
    <n v="1"/>
    <n v="2"/>
    <n v="55"/>
    <n v="45"/>
    <n v="55"/>
    <n v="45"/>
    <n v="2"/>
    <n v="2"/>
    <n v="15"/>
    <n v="14"/>
    <n v="2"/>
    <n v="2"/>
    <n v="15"/>
    <n v="14"/>
    <n v="1"/>
    <n v="1"/>
    <s v="Marco Di bello"/>
    <n v="0"/>
    <n v="0"/>
    <n v="1"/>
    <n v="1"/>
    <n v="4"/>
    <n v="4"/>
    <n v="0"/>
    <n v="0"/>
    <s v="5."/>
    <n v="4"/>
    <n v="1"/>
    <x v="0"/>
  </r>
  <r>
    <s v="Wed Dec 23, 2020"/>
    <x v="0"/>
    <x v="4"/>
    <x v="1"/>
    <s v="20:45:00"/>
    <x v="0"/>
    <x v="13"/>
    <s v="3-4-1-2"/>
    <s v="2:2"/>
    <n v="9"/>
    <n v="12"/>
    <n v="12"/>
    <n v="9"/>
    <n v="2"/>
    <n v="3"/>
    <n v="3"/>
    <n v="2"/>
    <n v="54"/>
    <n v="46"/>
    <n v="46"/>
    <n v="54"/>
    <n v="1"/>
    <n v="5"/>
    <n v="12"/>
    <n v="14"/>
    <n v="5"/>
    <n v="1"/>
    <n v="14"/>
    <n v="12"/>
    <n v="0"/>
    <n v="2"/>
    <s v="Daniele Chiffi"/>
    <n v="0"/>
    <n v="2"/>
    <n v="0"/>
    <n v="2"/>
    <n v="2"/>
    <n v="0"/>
    <n v="2"/>
    <n v="0"/>
    <s v="13."/>
    <n v="2"/>
    <n v="2"/>
    <x v="2"/>
  </r>
  <r>
    <s v="Sun Jan 3, 2021"/>
    <x v="1"/>
    <x v="3"/>
    <x v="1"/>
    <s v="15:00:00"/>
    <x v="1"/>
    <x v="14"/>
    <s v="3-4-1-2"/>
    <s v="5:1"/>
    <n v="23"/>
    <n v="10"/>
    <n v="23"/>
    <n v="10"/>
    <n v="14"/>
    <n v="3"/>
    <n v="14"/>
    <n v="3"/>
    <n v="46"/>
    <n v="54"/>
    <n v="46"/>
    <n v="54"/>
    <n v="8"/>
    <n v="3"/>
    <n v="13"/>
    <n v="9"/>
    <n v="8"/>
    <n v="3"/>
    <n v="13"/>
    <n v="9"/>
    <n v="1"/>
    <n v="1"/>
    <s v="Fabio Maresca"/>
    <n v="1"/>
    <n v="1"/>
    <n v="0"/>
    <n v="0"/>
    <n v="4"/>
    <n v="4"/>
    <n v="1"/>
    <n v="1"/>
    <s v="5."/>
    <n v="5"/>
    <n v="1"/>
    <x v="0"/>
  </r>
  <r>
    <s v="Wed Jan 6, 2021"/>
    <x v="1"/>
    <x v="3"/>
    <x v="1"/>
    <s v="15:00:00"/>
    <x v="1"/>
    <x v="15"/>
    <s v="3-4-1-2"/>
    <s v="3:0"/>
    <n v="17"/>
    <n v="2"/>
    <n v="17"/>
    <n v="2"/>
    <n v="9"/>
    <n v="1"/>
    <n v="9"/>
    <n v="1"/>
    <n v="51"/>
    <n v="49"/>
    <n v="51"/>
    <n v="49"/>
    <n v="12"/>
    <n v="3"/>
    <n v="10"/>
    <n v="6"/>
    <n v="12"/>
    <n v="3"/>
    <n v="10"/>
    <n v="6"/>
    <n v="3"/>
    <n v="1"/>
    <s v="Juan Luca Sacchi"/>
    <n v="1"/>
    <n v="1"/>
    <n v="0"/>
    <n v="0"/>
    <n v="2"/>
    <n v="2"/>
    <n v="0"/>
    <n v="0"/>
    <s v="16."/>
    <n v="3"/>
    <n v="0"/>
    <x v="0"/>
  </r>
  <r>
    <s v="Sat Jan 9, 2021"/>
    <x v="1"/>
    <x v="3"/>
    <x v="1"/>
    <s v="15:00:00"/>
    <x v="0"/>
    <x v="16"/>
    <s v="3-4-1-2"/>
    <s v="1:4"/>
    <n v="5"/>
    <n v="27"/>
    <n v="27"/>
    <n v="5"/>
    <n v="2"/>
    <n v="7"/>
    <n v="7"/>
    <n v="2"/>
    <n v="41"/>
    <n v="59"/>
    <n v="59"/>
    <n v="41"/>
    <n v="1"/>
    <n v="11"/>
    <n v="13"/>
    <n v="21"/>
    <n v="11"/>
    <n v="1"/>
    <n v="21"/>
    <n v="13"/>
    <n v="0"/>
    <n v="4"/>
    <s v="Gianluca Manganiello"/>
    <n v="0"/>
    <n v="1"/>
    <n v="0"/>
    <n v="1"/>
    <n v="1"/>
    <n v="3"/>
    <n v="1"/>
    <n v="3"/>
    <s v="10."/>
    <n v="4"/>
    <n v="1"/>
    <x v="0"/>
  </r>
  <r>
    <s v="Sun Jan 17, 2021"/>
    <x v="1"/>
    <x v="3"/>
    <x v="1"/>
    <s v="18:00:00"/>
    <x v="1"/>
    <x v="17"/>
    <s v="3-4-2-1"/>
    <s v="0:0"/>
    <n v="19"/>
    <n v="7"/>
    <n v="19"/>
    <n v="7"/>
    <n v="11"/>
    <n v="2"/>
    <n v="11"/>
    <n v="2"/>
    <n v="64"/>
    <n v="36"/>
    <n v="64"/>
    <n v="36"/>
    <n v="9"/>
    <n v="1"/>
    <n v="14"/>
    <n v="13"/>
    <n v="9"/>
    <n v="1"/>
    <n v="14"/>
    <n v="13"/>
    <n v="0"/>
    <n v="0"/>
    <s v="Livio Marinelli"/>
    <n v="0"/>
    <n v="0"/>
    <n v="0"/>
    <n v="0"/>
    <n v="0"/>
    <n v="0"/>
    <n v="0"/>
    <n v="0"/>
    <s v="17."/>
    <n v="0"/>
    <n v="0"/>
    <x v="2"/>
  </r>
  <r>
    <s v="Sat Jan 23, 2021"/>
    <x v="1"/>
    <x v="3"/>
    <x v="1"/>
    <s v="18:00:00"/>
    <x v="0"/>
    <x v="18"/>
    <s v="3-4-1-2"/>
    <s v="0:3"/>
    <n v="14"/>
    <n v="18"/>
    <n v="18"/>
    <n v="14"/>
    <n v="4"/>
    <n v="7"/>
    <n v="7"/>
    <n v="4"/>
    <n v="51"/>
    <n v="49"/>
    <n v="49"/>
    <n v="51"/>
    <n v="5"/>
    <n v="7"/>
    <n v="11"/>
    <n v="14"/>
    <n v="7"/>
    <n v="5"/>
    <n v="14"/>
    <n v="11"/>
    <n v="3"/>
    <n v="1"/>
    <s v="Maurizio Mariani"/>
    <n v="0"/>
    <n v="1"/>
    <n v="0"/>
    <n v="1"/>
    <n v="0"/>
    <n v="2"/>
    <n v="0"/>
    <n v="2"/>
    <s v="1."/>
    <n v="3"/>
    <n v="0"/>
    <x v="0"/>
  </r>
  <r>
    <s v="Sun Jan 31, 2021"/>
    <x v="1"/>
    <x v="3"/>
    <x v="1"/>
    <s v="15:00:00"/>
    <x v="1"/>
    <x v="0"/>
    <s v="3-4-2-1"/>
    <s v="1:3"/>
    <n v="8"/>
    <n v="14"/>
    <n v="8"/>
    <n v="14"/>
    <n v="5"/>
    <n v="3"/>
    <n v="5"/>
    <n v="3"/>
    <n v="57"/>
    <n v="43"/>
    <n v="57"/>
    <n v="43"/>
    <n v="2"/>
    <n v="2"/>
    <n v="12"/>
    <n v="20"/>
    <n v="2"/>
    <n v="2"/>
    <n v="12"/>
    <n v="20"/>
    <n v="1"/>
    <n v="3"/>
    <s v="Daniele Chiffi"/>
    <n v="0"/>
    <n v="0"/>
    <n v="1"/>
    <n v="1"/>
    <n v="1"/>
    <n v="1"/>
    <n v="2"/>
    <n v="2"/>
    <s v="6."/>
    <n v="1"/>
    <n v="3"/>
    <x v="1"/>
  </r>
  <r>
    <s v="Sat Feb 6, 2021"/>
    <x v="1"/>
    <x v="5"/>
    <x v="1"/>
    <s v="15:00:00"/>
    <x v="1"/>
    <x v="1"/>
    <s v="3-4-2-1"/>
    <s v="3: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3"/>
    <n v="3"/>
    <n v="1"/>
    <n v="1"/>
    <n v="0"/>
    <n v="0"/>
    <n v="2"/>
    <n v="2"/>
    <s v="18."/>
    <n v="3"/>
    <n v="3"/>
    <x v="2"/>
  </r>
  <r>
    <s v="Sun Feb 14, 2021"/>
    <x v="1"/>
    <x v="5"/>
    <x v="1"/>
    <s v="15:00:00"/>
    <x v="0"/>
    <x v="2"/>
    <s v="3-4-2-1"/>
    <s v="0:1"/>
    <n v="4"/>
    <n v="10"/>
    <n v="10"/>
    <n v="4"/>
    <n v="1"/>
    <n v="5"/>
    <n v="5"/>
    <n v="1"/>
    <n v="36"/>
    <n v="64"/>
    <n v="64"/>
    <n v="36"/>
    <n v="6"/>
    <n v="6"/>
    <n v="13"/>
    <n v="17"/>
    <n v="6"/>
    <n v="6"/>
    <n v="17"/>
    <n v="13"/>
    <n v="0"/>
    <n v="2"/>
    <s v="Marco Piccinini"/>
    <n v="0"/>
    <n v="0"/>
    <n v="0"/>
    <n v="0"/>
    <n v="0"/>
    <n v="1"/>
    <n v="0"/>
    <n v="1"/>
    <s v="18."/>
    <n v="1"/>
    <n v="0"/>
    <x v="0"/>
  </r>
  <r>
    <s v="Sun Feb 21, 2021"/>
    <x v="1"/>
    <x v="5"/>
    <x v="1"/>
    <s v="18:00:00"/>
    <x v="1"/>
    <x v="3"/>
    <s v="3-4-1-2"/>
    <s v="4:2"/>
    <n v="18"/>
    <n v="4"/>
    <n v="18"/>
    <n v="4"/>
    <n v="8"/>
    <n v="1"/>
    <n v="8"/>
    <n v="1"/>
    <n v="47"/>
    <n v="53"/>
    <n v="47"/>
    <n v="53"/>
    <n v="6"/>
    <n v="2"/>
    <n v="19"/>
    <n v="11"/>
    <n v="6"/>
    <n v="2"/>
    <n v="19"/>
    <n v="11"/>
    <n v="0"/>
    <n v="0"/>
    <s v="Marco Di bello"/>
    <n v="0"/>
    <n v="0"/>
    <n v="0"/>
    <n v="0"/>
    <n v="4"/>
    <n v="4"/>
    <n v="2"/>
    <n v="2"/>
    <s v="6."/>
    <n v="4"/>
    <n v="2"/>
    <x v="0"/>
  </r>
  <r>
    <s v="Sun Feb 28, 2021"/>
    <x v="1"/>
    <x v="5"/>
    <x v="1"/>
    <s v="12:30:00"/>
    <x v="0"/>
    <x v="4"/>
    <s v="3-4-2-1"/>
    <s v="0:2"/>
    <n v="8"/>
    <n v="20"/>
    <n v="20"/>
    <n v="8"/>
    <n v="5"/>
    <n v="7"/>
    <n v="7"/>
    <n v="5"/>
    <n v="45"/>
    <n v="55"/>
    <n v="55"/>
    <n v="45"/>
    <n v="5"/>
    <n v="6"/>
    <n v="7"/>
    <n v="17"/>
    <n v="6"/>
    <n v="5"/>
    <n v="17"/>
    <n v="7"/>
    <n v="1"/>
    <n v="2"/>
    <s v="Livio Marinelli"/>
    <n v="0"/>
    <n v="1"/>
    <n v="0"/>
    <n v="1"/>
    <n v="0"/>
    <n v="1"/>
    <n v="0"/>
    <n v="1"/>
    <s v="10."/>
    <n v="2"/>
    <n v="0"/>
    <x v="0"/>
  </r>
  <r>
    <s v="Wed Mar 3, 2021"/>
    <x v="1"/>
    <x v="6"/>
    <x v="2"/>
    <s v="20:45:00"/>
    <x v="1"/>
    <x v="5"/>
    <s v="3-4-2-1"/>
    <s v="5:1"/>
    <n v="21"/>
    <n v="4"/>
    <n v="21"/>
    <n v="4"/>
    <n v="8"/>
    <n v="1"/>
    <n v="8"/>
    <n v="1"/>
    <n v="65"/>
    <n v="35"/>
    <n v="65"/>
    <n v="35"/>
    <n v="4"/>
    <n v="3"/>
    <n v="12"/>
    <n v="6"/>
    <n v="4"/>
    <n v="3"/>
    <n v="12"/>
    <n v="6"/>
    <n v="1"/>
    <n v="0"/>
    <s v="Simone Sozza"/>
    <n v="1"/>
    <n v="1"/>
    <n v="1"/>
    <n v="1"/>
    <n v="4"/>
    <n v="4"/>
    <n v="0"/>
    <n v="0"/>
    <s v="20."/>
    <n v="5"/>
    <n v="1"/>
    <x v="0"/>
  </r>
  <r>
    <s v="Mon Mar 8, 2021"/>
    <x v="1"/>
    <x v="6"/>
    <x v="2"/>
    <s v="20:45:00"/>
    <x v="0"/>
    <x v="6"/>
    <s v="3-4-2-1"/>
    <s v="1:0"/>
    <n v="5"/>
    <n v="13"/>
    <n v="13"/>
    <n v="5"/>
    <n v="2"/>
    <n v="0"/>
    <n v="0"/>
    <n v="2"/>
    <n v="45"/>
    <n v="55"/>
    <n v="55"/>
    <n v="45"/>
    <n v="7"/>
    <n v="7"/>
    <n v="11"/>
    <n v="17"/>
    <n v="7"/>
    <n v="7"/>
    <n v="17"/>
    <n v="11"/>
    <n v="2"/>
    <n v="0"/>
    <s v="Maurizio Mariani"/>
    <n v="0"/>
    <n v="0"/>
    <n v="0"/>
    <n v="0"/>
    <n v="1"/>
    <n v="0"/>
    <n v="1"/>
    <n v="0"/>
    <s v="1."/>
    <n v="0"/>
    <n v="1"/>
    <x v="1"/>
  </r>
  <r>
    <s v="Fri Mar 12, 2021"/>
    <x v="1"/>
    <x v="6"/>
    <x v="2"/>
    <s v="20:45:00"/>
    <x v="1"/>
    <x v="7"/>
    <s v="3-4-1-2"/>
    <s v="3:1"/>
    <n v="14"/>
    <n v="7"/>
    <n v="14"/>
    <n v="7"/>
    <n v="2"/>
    <n v="4"/>
    <n v="2"/>
    <n v="4"/>
    <n v="47"/>
    <n v="53"/>
    <n v="47"/>
    <n v="53"/>
    <n v="3"/>
    <n v="5"/>
    <n v="17"/>
    <n v="6"/>
    <n v="3"/>
    <n v="5"/>
    <n v="17"/>
    <n v="6"/>
    <n v="2"/>
    <n v="3"/>
    <s v="Valerio Marini"/>
    <n v="0"/>
    <n v="0"/>
    <n v="0"/>
    <n v="0"/>
    <n v="3"/>
    <n v="3"/>
    <n v="1"/>
    <n v="1"/>
    <s v="14."/>
    <n v="3"/>
    <n v="1"/>
    <x v="0"/>
  </r>
  <r>
    <s v="Sun Mar 21, 2021"/>
    <x v="1"/>
    <x v="6"/>
    <x v="2"/>
    <s v="12:30:00"/>
    <x v="0"/>
    <x v="8"/>
    <s v="4-2-3-1"/>
    <s v="0:2"/>
    <n v="3"/>
    <n v="16"/>
    <n v="16"/>
    <n v="3"/>
    <n v="4"/>
    <n v="1"/>
    <n v="1"/>
    <n v="4"/>
    <n v="52"/>
    <n v="48"/>
    <n v="48"/>
    <n v="52"/>
    <n v="4"/>
    <n v="7"/>
    <n v="23"/>
    <n v="20"/>
    <n v="7"/>
    <n v="4"/>
    <n v="20"/>
    <n v="23"/>
    <n v="3"/>
    <n v="3"/>
    <s v="Luca Pairetto"/>
    <n v="0"/>
    <n v="2"/>
    <n v="0"/>
    <n v="2"/>
    <n v="0"/>
    <n v="0"/>
    <n v="0"/>
    <n v="0"/>
    <s v="9."/>
    <n v="2"/>
    <n v="0"/>
    <x v="0"/>
  </r>
  <r>
    <s v="Sat Apr 3, 2021"/>
    <x v="1"/>
    <x v="7"/>
    <x v="2"/>
    <s v="15:00:00"/>
    <x v="1"/>
    <x v="9"/>
    <s v="4-2-3-1"/>
    <s v="3:2"/>
    <n v="23"/>
    <n v="9"/>
    <n v="23"/>
    <n v="9"/>
    <n v="1"/>
    <n v="5"/>
    <n v="1"/>
    <n v="5"/>
    <n v="58"/>
    <n v="42"/>
    <n v="58"/>
    <n v="42"/>
    <n v="4"/>
    <n v="1"/>
    <n v="15"/>
    <n v="9"/>
    <n v="4"/>
    <n v="1"/>
    <n v="15"/>
    <n v="9"/>
    <n v="1"/>
    <n v="1"/>
    <s v="Gianluca Manganiello"/>
    <n v="2"/>
    <n v="2"/>
    <n v="0"/>
    <n v="0"/>
    <n v="1"/>
    <n v="1"/>
    <n v="2"/>
    <n v="2"/>
    <s v="12."/>
    <n v="3"/>
    <n v="2"/>
    <x v="0"/>
  </r>
  <r>
    <s v="Sun Apr 11, 2021"/>
    <x v="1"/>
    <x v="7"/>
    <x v="2"/>
    <s v="20:45:00"/>
    <x v="0"/>
    <x v="10"/>
    <s v="4-2-3-1"/>
    <s v="2:3"/>
    <n v="10"/>
    <n v="15"/>
    <n v="15"/>
    <n v="10"/>
    <n v="5"/>
    <n v="0"/>
    <n v="0"/>
    <n v="5"/>
    <n v="40"/>
    <n v="60"/>
    <n v="60"/>
    <n v="40"/>
    <n v="0"/>
    <n v="6"/>
    <n v="15"/>
    <n v="13"/>
    <n v="6"/>
    <n v="0"/>
    <n v="13"/>
    <n v="15"/>
    <n v="2"/>
    <n v="2"/>
    <s v="Juan Luca Sacchi"/>
    <n v="0"/>
    <n v="2"/>
    <n v="0"/>
    <n v="2"/>
    <n v="2"/>
    <n v="1"/>
    <n v="2"/>
    <n v="1"/>
    <s v="14."/>
    <n v="3"/>
    <n v="2"/>
    <x v="0"/>
  </r>
  <r>
    <s v="Sun Apr 18, 2021"/>
    <x v="1"/>
    <x v="7"/>
    <x v="2"/>
    <s v="15:00:00"/>
    <x v="1"/>
    <x v="11"/>
    <s v="3-4-1-2"/>
    <s v="1:0"/>
    <n v="14"/>
    <n v="11"/>
    <n v="14"/>
    <n v="11"/>
    <n v="1"/>
    <n v="1"/>
    <n v="1"/>
    <n v="1"/>
    <n v="46"/>
    <n v="54"/>
    <n v="46"/>
    <n v="54"/>
    <n v="3"/>
    <n v="8"/>
    <n v="18"/>
    <n v="16"/>
    <n v="3"/>
    <n v="8"/>
    <n v="18"/>
    <n v="16"/>
    <n v="0"/>
    <n v="0"/>
    <s v="Daniele Orsato"/>
    <n v="0"/>
    <n v="0"/>
    <n v="0"/>
    <n v="0"/>
    <n v="1"/>
    <n v="1"/>
    <n v="0"/>
    <n v="0"/>
    <s v="3."/>
    <n v="1"/>
    <n v="0"/>
    <x v="0"/>
  </r>
  <r>
    <s v="Thu Apr 22, 2021"/>
    <x v="1"/>
    <x v="7"/>
    <x v="2"/>
    <s v="18:30:00"/>
    <x v="0"/>
    <x v="12"/>
    <s v="3-4-2-1"/>
    <s v="1:1"/>
    <n v="14"/>
    <n v="21"/>
    <n v="21"/>
    <n v="14"/>
    <n v="7"/>
    <n v="2"/>
    <n v="2"/>
    <n v="7"/>
    <n v="60"/>
    <n v="40"/>
    <n v="40"/>
    <n v="60"/>
    <n v="4"/>
    <n v="8"/>
    <n v="16"/>
    <n v="7"/>
    <n v="8"/>
    <n v="4"/>
    <n v="7"/>
    <n v="16"/>
    <n v="0"/>
    <n v="1"/>
    <s v="Gianpaolo Calvarese"/>
    <n v="0"/>
    <n v="1"/>
    <n v="0"/>
    <n v="1"/>
    <n v="1"/>
    <n v="0"/>
    <n v="1"/>
    <n v="0"/>
    <s v="7."/>
    <n v="1"/>
    <n v="1"/>
    <x v="2"/>
  </r>
  <r>
    <s v="Sun Apr 25, 2021"/>
    <x v="1"/>
    <x v="7"/>
    <x v="2"/>
    <s v="20:45:00"/>
    <x v="1"/>
    <x v="13"/>
    <s v="3-4-2-1"/>
    <s v="5:0"/>
    <n v="25"/>
    <n v="8"/>
    <n v="25"/>
    <n v="8"/>
    <n v="3"/>
    <n v="4"/>
    <n v="3"/>
    <n v="4"/>
    <n v="57"/>
    <n v="43"/>
    <n v="57"/>
    <n v="43"/>
    <n v="8"/>
    <n v="3"/>
    <n v="12"/>
    <n v="8"/>
    <n v="8"/>
    <n v="3"/>
    <n v="12"/>
    <n v="8"/>
    <n v="1"/>
    <n v="1"/>
    <s v="Michael Fabbri"/>
    <n v="2"/>
    <n v="2"/>
    <n v="0"/>
    <n v="0"/>
    <n v="3"/>
    <n v="3"/>
    <n v="0"/>
    <n v="0"/>
    <s v="11."/>
    <n v="5"/>
    <n v="0"/>
    <x v="0"/>
  </r>
  <r>
    <s v="Sun May 2, 2021"/>
    <x v="1"/>
    <x v="8"/>
    <x v="2"/>
    <s v="15:00:00"/>
    <x v="0"/>
    <x v="14"/>
    <s v="3-4-2-1"/>
    <s v="1:1"/>
    <n v="11"/>
    <n v="10"/>
    <n v="10"/>
    <n v="11"/>
    <n v="6"/>
    <n v="4"/>
    <n v="4"/>
    <n v="6"/>
    <n v="63"/>
    <n v="37"/>
    <n v="37"/>
    <n v="63"/>
    <n v="4"/>
    <n v="4"/>
    <n v="18"/>
    <n v="12"/>
    <n v="4"/>
    <n v="4"/>
    <n v="12"/>
    <n v="18"/>
    <n v="2"/>
    <n v="1"/>
    <s v="Luca Pairetto"/>
    <n v="0"/>
    <n v="1"/>
    <n v="0"/>
    <n v="1"/>
    <n v="1"/>
    <n v="0"/>
    <n v="1"/>
    <n v="0"/>
    <s v="8."/>
    <n v="1"/>
    <n v="1"/>
    <x v="2"/>
  </r>
  <r>
    <s v="Sun May 9, 2021"/>
    <x v="1"/>
    <x v="8"/>
    <x v="2"/>
    <s v="15:00:00"/>
    <x v="0"/>
    <x v="15"/>
    <s v="3-4-2-1"/>
    <s v="2:5"/>
    <n v="7"/>
    <n v="18"/>
    <n v="18"/>
    <n v="7"/>
    <n v="7"/>
    <n v="0"/>
    <n v="0"/>
    <n v="7"/>
    <n v="44"/>
    <n v="56"/>
    <n v="56"/>
    <n v="44"/>
    <n v="1"/>
    <n v="3"/>
    <n v="12"/>
    <n v="15"/>
    <n v="3"/>
    <n v="1"/>
    <n v="15"/>
    <n v="12"/>
    <n v="2"/>
    <n v="4"/>
    <s v="Antonio Giua"/>
    <n v="0"/>
    <n v="1"/>
    <n v="0"/>
    <n v="1"/>
    <n v="2"/>
    <n v="4"/>
    <n v="2"/>
    <n v="4"/>
    <s v="19."/>
    <n v="5"/>
    <n v="2"/>
    <x v="0"/>
  </r>
  <r>
    <s v="Wed May 12, 2021"/>
    <x v="1"/>
    <x v="8"/>
    <x v="2"/>
    <s v="20:45:00"/>
    <x v="1"/>
    <x v="16"/>
    <s v="4-3-1-2"/>
    <s v="2:0"/>
    <n v="15"/>
    <n v="4"/>
    <n v="15"/>
    <n v="4"/>
    <n v="0"/>
    <n v="2"/>
    <n v="0"/>
    <n v="2"/>
    <n v="72"/>
    <n v="28"/>
    <n v="72"/>
    <n v="28"/>
    <n v="7"/>
    <n v="5"/>
    <n v="19"/>
    <n v="11"/>
    <n v="7"/>
    <n v="5"/>
    <n v="19"/>
    <n v="11"/>
    <n v="0"/>
    <n v="3"/>
    <s v="Davide Massa"/>
    <n v="1"/>
    <n v="1"/>
    <n v="0"/>
    <n v="0"/>
    <n v="1"/>
    <n v="1"/>
    <n v="0"/>
    <n v="0"/>
    <s v="18."/>
    <n v="2"/>
    <n v="0"/>
    <x v="0"/>
  </r>
  <r>
    <s v="Sat May 15, 2021"/>
    <x v="1"/>
    <x v="8"/>
    <x v="2"/>
    <s v="15:00:00"/>
    <x v="0"/>
    <x v="17"/>
    <s v="3-4-2-1"/>
    <s v="3:4"/>
    <n v="10"/>
    <n v="12"/>
    <n v="12"/>
    <n v="10"/>
    <n v="2"/>
    <n v="3"/>
    <n v="3"/>
    <n v="2"/>
    <n v="41"/>
    <n v="59"/>
    <n v="59"/>
    <n v="41"/>
    <n v="2"/>
    <n v="4"/>
    <n v="13"/>
    <n v="8"/>
    <n v="4"/>
    <n v="2"/>
    <n v="8"/>
    <n v="13"/>
    <n v="0"/>
    <n v="1"/>
    <s v="Livio Marinelli"/>
    <n v="0"/>
    <n v="3"/>
    <n v="0"/>
    <n v="3"/>
    <n v="3"/>
    <n v="1"/>
    <n v="3"/>
    <n v="1"/>
    <s v="14."/>
    <n v="4"/>
    <n v="3"/>
    <x v="0"/>
  </r>
  <r>
    <s v="Sun May 23, 2021"/>
    <x v="1"/>
    <x v="8"/>
    <x v="2"/>
    <s v="20:45:00"/>
    <x v="1"/>
    <x v="18"/>
    <s v="3-4-2-1"/>
    <s v="0:2"/>
    <n v="13"/>
    <n v="6"/>
    <n v="13"/>
    <n v="6"/>
    <n v="0"/>
    <n v="1"/>
    <n v="0"/>
    <n v="1"/>
    <n v="70"/>
    <n v="30"/>
    <n v="70"/>
    <n v="30"/>
    <n v="3"/>
    <n v="0"/>
    <n v="17"/>
    <n v="11"/>
    <n v="3"/>
    <n v="0"/>
    <n v="17"/>
    <n v="11"/>
    <n v="1"/>
    <n v="0"/>
    <s v="Maurizio Mariani"/>
    <n v="0"/>
    <n v="0"/>
    <n v="1"/>
    <n v="1"/>
    <n v="0"/>
    <n v="0"/>
    <n v="1"/>
    <n v="1"/>
    <s v="3."/>
    <n v="0"/>
    <n v="2"/>
    <x v="1"/>
  </r>
  <r>
    <s v="Sat Aug 21, 2021"/>
    <x v="1"/>
    <x v="9"/>
    <x v="3"/>
    <s v="20:45:00"/>
    <x v="0"/>
    <x v="1"/>
    <s v="3-4-2-1"/>
    <s v="1:2"/>
    <n v="21"/>
    <n v="7"/>
    <n v="7"/>
    <n v="21"/>
    <n v="0"/>
    <n v="6"/>
    <n v="6"/>
    <n v="0"/>
    <n v="48"/>
    <n v="52"/>
    <n v="52"/>
    <n v="48"/>
    <n v="5"/>
    <n v="1"/>
    <n v="7"/>
    <n v="13"/>
    <n v="1"/>
    <n v="5"/>
    <n v="13"/>
    <n v="7"/>
    <n v="0"/>
    <n v="0"/>
    <s v="Daniele Chiffi"/>
    <n v="0"/>
    <n v="1"/>
    <n v="0"/>
    <n v="1"/>
    <n v="1"/>
    <n v="1"/>
    <n v="1"/>
    <n v="1"/>
    <s v="10."/>
    <n v="2"/>
    <n v="1"/>
    <x v="0"/>
  </r>
  <r>
    <s v="Sat Aug 28, 2021"/>
    <x v="1"/>
    <x v="9"/>
    <x v="3"/>
    <s v="18:30:00"/>
    <x v="1"/>
    <x v="13"/>
    <s v="3-4-2-1"/>
    <s v="0:0"/>
    <n v="22"/>
    <n v="4"/>
    <n v="22"/>
    <n v="4"/>
    <n v="1"/>
    <n v="3"/>
    <n v="1"/>
    <n v="3"/>
    <n v="59"/>
    <n v="41"/>
    <n v="59"/>
    <n v="41"/>
    <n v="5"/>
    <n v="5"/>
    <n v="11"/>
    <n v="14"/>
    <n v="5"/>
    <n v="5"/>
    <n v="11"/>
    <n v="14"/>
    <n v="2"/>
    <n v="0"/>
    <s v="Daniele Orsato"/>
    <n v="0"/>
    <n v="0"/>
    <n v="0"/>
    <n v="0"/>
    <n v="0"/>
    <n v="0"/>
    <n v="0"/>
    <n v="0"/>
    <s v="6."/>
    <n v="0"/>
    <n v="0"/>
    <x v="2"/>
  </r>
  <r>
    <s v="Sat Sep 11, 2021"/>
    <x v="1"/>
    <x v="0"/>
    <x v="0"/>
    <s v="20:45:00"/>
    <x v="1"/>
    <x v="10"/>
    <s v="3-4-2-1"/>
    <s v="1:2"/>
    <n v="13"/>
    <n v="7"/>
    <n v="13"/>
    <n v="7"/>
    <n v="0"/>
    <n v="4"/>
    <n v="0"/>
    <n v="4"/>
    <n v="55"/>
    <n v="45"/>
    <n v="55"/>
    <n v="45"/>
    <n v="10"/>
    <n v="3"/>
    <n v="13"/>
    <n v="19"/>
    <n v="10"/>
    <n v="3"/>
    <n v="13"/>
    <n v="19"/>
    <n v="2"/>
    <n v="1"/>
    <s v="Valerio Marini"/>
    <n v="0"/>
    <n v="0"/>
    <n v="1"/>
    <n v="1"/>
    <n v="1"/>
    <n v="1"/>
    <n v="1"/>
    <n v="1"/>
    <s v="10."/>
    <n v="1"/>
    <n v="2"/>
    <x v="1"/>
  </r>
  <r>
    <s v="Sat Sep 18, 2021"/>
    <x v="1"/>
    <x v="0"/>
    <x v="0"/>
    <s v="20:45:00"/>
    <x v="0"/>
    <x v="19"/>
    <s v="3-4-2-1"/>
    <s v="0:1"/>
    <n v="11"/>
    <n v="10"/>
    <n v="10"/>
    <n v="11"/>
    <n v="2"/>
    <n v="1"/>
    <n v="1"/>
    <n v="2"/>
    <n v="42"/>
    <n v="58"/>
    <n v="58"/>
    <n v="42"/>
    <n v="6"/>
    <n v="4"/>
    <n v="21"/>
    <n v="13"/>
    <n v="4"/>
    <n v="6"/>
    <n v="13"/>
    <n v="21"/>
    <n v="2"/>
    <n v="1"/>
    <s v="paolo Valeri"/>
    <n v="0"/>
    <n v="0"/>
    <n v="0"/>
    <n v="0"/>
    <n v="0"/>
    <n v="1"/>
    <n v="0"/>
    <n v="1"/>
    <s v="20."/>
    <n v="1"/>
    <n v="0"/>
    <x v="0"/>
  </r>
  <r>
    <s v="Tue Sep 21, 2021"/>
    <x v="1"/>
    <x v="0"/>
    <x v="0"/>
    <s v="20:45:00"/>
    <x v="1"/>
    <x v="14"/>
    <s v="3-4-2-1"/>
    <s v="2:1"/>
    <n v="14"/>
    <n v="8"/>
    <n v="14"/>
    <n v="8"/>
    <n v="0"/>
    <n v="3"/>
    <n v="0"/>
    <n v="3"/>
    <n v="48"/>
    <n v="52"/>
    <n v="48"/>
    <n v="52"/>
    <n v="5"/>
    <n v="5"/>
    <n v="16"/>
    <n v="16"/>
    <n v="5"/>
    <n v="5"/>
    <n v="16"/>
    <n v="16"/>
    <n v="2"/>
    <n v="0"/>
    <s v="Davide Massa"/>
    <n v="2"/>
    <n v="2"/>
    <n v="1"/>
    <n v="1"/>
    <n v="0"/>
    <n v="0"/>
    <n v="0"/>
    <n v="0"/>
    <s v="12."/>
    <n v="2"/>
    <n v="1"/>
    <x v="0"/>
  </r>
  <r>
    <s v="Sat Sep 25, 2021"/>
    <x v="1"/>
    <x v="0"/>
    <x v="0"/>
    <s v="18:00:00"/>
    <x v="0"/>
    <x v="6"/>
    <s v="3-4-2-1"/>
    <s v="2:2"/>
    <n v="19"/>
    <n v="21"/>
    <n v="21"/>
    <n v="19"/>
    <n v="3"/>
    <n v="4"/>
    <n v="4"/>
    <n v="3"/>
    <n v="49"/>
    <n v="51"/>
    <n v="51"/>
    <n v="49"/>
    <n v="4"/>
    <n v="11"/>
    <n v="13"/>
    <n v="11"/>
    <n v="11"/>
    <n v="4"/>
    <n v="11"/>
    <n v="13"/>
    <n v="0"/>
    <n v="1"/>
    <s v="Fabio Maresca"/>
    <n v="1"/>
    <n v="2"/>
    <n v="1"/>
    <n v="2"/>
    <n v="1"/>
    <n v="0"/>
    <n v="1"/>
    <n v="0"/>
    <s v="2."/>
    <n v="2"/>
    <n v="2"/>
    <x v="2"/>
  </r>
  <r>
    <s v="Sun Oct 3, 2021"/>
    <x v="1"/>
    <x v="1"/>
    <x v="0"/>
    <s v="20:45:00"/>
    <x v="1"/>
    <x v="18"/>
    <s v="3-4-2-1"/>
    <s v="2:3"/>
    <n v="17"/>
    <n v="13"/>
    <n v="17"/>
    <n v="13"/>
    <n v="4"/>
    <n v="3"/>
    <n v="4"/>
    <n v="3"/>
    <n v="56"/>
    <n v="44"/>
    <n v="56"/>
    <n v="44"/>
    <n v="9"/>
    <n v="5"/>
    <n v="13"/>
    <n v="15"/>
    <n v="9"/>
    <n v="5"/>
    <n v="13"/>
    <n v="15"/>
    <n v="2"/>
    <n v="0"/>
    <s v="Marco Di bello"/>
    <n v="0"/>
    <n v="0"/>
    <n v="2"/>
    <n v="2"/>
    <n v="2"/>
    <n v="2"/>
    <n v="1"/>
    <n v="1"/>
    <s v="2."/>
    <n v="2"/>
    <n v="3"/>
    <x v="1"/>
  </r>
  <r>
    <s v="Sun Oct 17, 2021"/>
    <x v="1"/>
    <x v="1"/>
    <x v="0"/>
    <s v="15:00:00"/>
    <x v="0"/>
    <x v="20"/>
    <s v="3-4-1-2"/>
    <s v="1:4"/>
    <n v="12"/>
    <n v="22"/>
    <n v="22"/>
    <n v="12"/>
    <n v="4"/>
    <n v="3"/>
    <n v="3"/>
    <n v="4"/>
    <n v="48"/>
    <n v="52"/>
    <n v="52"/>
    <n v="48"/>
    <n v="5"/>
    <n v="4"/>
    <n v="10"/>
    <n v="16"/>
    <n v="4"/>
    <n v="5"/>
    <n v="16"/>
    <n v="10"/>
    <n v="6"/>
    <n v="2"/>
    <s v="Marco Serra"/>
    <n v="1"/>
    <n v="2"/>
    <n v="1"/>
    <n v="2"/>
    <n v="0"/>
    <n v="2"/>
    <n v="0"/>
    <n v="2"/>
    <s v="10."/>
    <n v="4"/>
    <n v="1"/>
    <x v="0"/>
  </r>
  <r>
    <s v="Sun Oct 24, 2021"/>
    <x v="1"/>
    <x v="1"/>
    <x v="0"/>
    <s v="12:30:00"/>
    <x v="1"/>
    <x v="9"/>
    <s v="3-4-2-1"/>
    <s v="1:1"/>
    <n v="8"/>
    <n v="9"/>
    <n v="8"/>
    <n v="9"/>
    <n v="3"/>
    <n v="2"/>
    <n v="3"/>
    <n v="2"/>
    <n v="67"/>
    <n v="33"/>
    <n v="67"/>
    <n v="33"/>
    <n v="6"/>
    <n v="3"/>
    <n v="15"/>
    <n v="15"/>
    <n v="6"/>
    <n v="3"/>
    <n v="15"/>
    <n v="15"/>
    <n v="1"/>
    <n v="0"/>
    <s v="Livio Marinelli"/>
    <n v="0"/>
    <n v="0"/>
    <n v="0"/>
    <n v="0"/>
    <n v="1"/>
    <n v="1"/>
    <n v="1"/>
    <n v="1"/>
    <s v="10."/>
    <n v="1"/>
    <n v="1"/>
    <x v="2"/>
  </r>
  <r>
    <s v="Wed Oct 27, 2021"/>
    <x v="1"/>
    <x v="1"/>
    <x v="0"/>
    <s v="18:30:00"/>
    <x v="0"/>
    <x v="4"/>
    <s v="3-4-2-1"/>
    <s v="1:3"/>
    <n v="8"/>
    <n v="13"/>
    <n v="13"/>
    <n v="8"/>
    <n v="2"/>
    <n v="2"/>
    <n v="2"/>
    <n v="2"/>
    <n v="40"/>
    <n v="60"/>
    <n v="60"/>
    <n v="40"/>
    <n v="3"/>
    <n v="3"/>
    <n v="15"/>
    <n v="19"/>
    <n v="3"/>
    <n v="3"/>
    <n v="19"/>
    <n v="15"/>
    <n v="6"/>
    <n v="1"/>
    <s v="Alessandro Prontera"/>
    <n v="1"/>
    <n v="2"/>
    <n v="1"/>
    <n v="2"/>
    <n v="0"/>
    <n v="1"/>
    <n v="0"/>
    <n v="1"/>
    <s v="15."/>
    <n v="3"/>
    <n v="1"/>
    <x v="0"/>
  </r>
  <r>
    <s v="Sat Oct 30, 2021"/>
    <x v="1"/>
    <x v="1"/>
    <x v="0"/>
    <s v="15:00:00"/>
    <x v="1"/>
    <x v="0"/>
    <s v="3-4-2-1"/>
    <s v="2:2"/>
    <n v="17"/>
    <n v="8"/>
    <n v="17"/>
    <n v="8"/>
    <n v="3"/>
    <n v="1"/>
    <n v="3"/>
    <n v="1"/>
    <n v="57"/>
    <n v="43"/>
    <n v="57"/>
    <n v="43"/>
    <n v="6"/>
    <n v="2"/>
    <n v="13"/>
    <n v="13"/>
    <n v="6"/>
    <n v="2"/>
    <n v="13"/>
    <n v="13"/>
    <n v="3"/>
    <n v="2"/>
    <s v="Marco Guida"/>
    <n v="1"/>
    <n v="1"/>
    <n v="0"/>
    <n v="0"/>
    <n v="2"/>
    <n v="2"/>
    <n v="1"/>
    <n v="1"/>
    <s v="6."/>
    <n v="3"/>
    <n v="1"/>
    <x v="0"/>
  </r>
  <r>
    <s v="Sat Nov 6, 2021"/>
    <x v="1"/>
    <x v="2"/>
    <x v="0"/>
    <s v="20:45:00"/>
    <x v="0"/>
    <x v="2"/>
    <s v="3-4-2-1"/>
    <s v="1:2"/>
    <n v="7"/>
    <n v="21"/>
    <n v="21"/>
    <n v="7"/>
    <n v="6"/>
    <n v="0"/>
    <n v="0"/>
    <n v="6"/>
    <n v="37"/>
    <n v="63"/>
    <n v="63"/>
    <n v="37"/>
    <n v="2"/>
    <n v="7"/>
    <n v="11"/>
    <n v="9"/>
    <n v="7"/>
    <n v="2"/>
    <n v="9"/>
    <n v="11"/>
    <n v="3"/>
    <n v="0"/>
    <s v="Marco Piccinini"/>
    <n v="1"/>
    <n v="2"/>
    <n v="1"/>
    <n v="2"/>
    <n v="0"/>
    <n v="0"/>
    <n v="0"/>
    <n v="0"/>
    <s v="20."/>
    <n v="2"/>
    <n v="1"/>
    <x v="0"/>
  </r>
  <r>
    <s v="Sat Nov 20, 2021"/>
    <x v="1"/>
    <x v="2"/>
    <x v="0"/>
    <s v="15:00:00"/>
    <x v="1"/>
    <x v="7"/>
    <s v="3-4-2-1"/>
    <s v="5:2"/>
    <n v="18"/>
    <n v="10"/>
    <n v="18"/>
    <n v="10"/>
    <n v="3"/>
    <n v="4"/>
    <n v="3"/>
    <n v="4"/>
    <n v="51"/>
    <n v="49"/>
    <n v="51"/>
    <n v="49"/>
    <n v="0"/>
    <n v="6"/>
    <n v="10"/>
    <n v="11"/>
    <n v="0"/>
    <n v="6"/>
    <n v="10"/>
    <n v="11"/>
    <n v="2"/>
    <n v="1"/>
    <s v="Rosario Abisso"/>
    <n v="3"/>
    <n v="3"/>
    <n v="1"/>
    <n v="1"/>
    <n v="2"/>
    <n v="2"/>
    <n v="0"/>
    <n v="0"/>
    <s v="16."/>
    <n v="5"/>
    <n v="1"/>
    <x v="0"/>
  </r>
  <r>
    <s v="Sat Nov 27, 2021"/>
    <x v="1"/>
    <x v="2"/>
    <x v="0"/>
    <s v="18:00:00"/>
    <x v="0"/>
    <x v="11"/>
    <s v="3-4-2-1"/>
    <s v="0:1"/>
    <n v="15"/>
    <n v="7"/>
    <n v="7"/>
    <n v="15"/>
    <n v="0"/>
    <n v="2"/>
    <n v="2"/>
    <n v="0"/>
    <n v="59"/>
    <n v="41"/>
    <n v="41"/>
    <n v="59"/>
    <n v="6"/>
    <n v="4"/>
    <n v="13"/>
    <n v="20"/>
    <n v="4"/>
    <n v="6"/>
    <n v="20"/>
    <n v="13"/>
    <n v="1"/>
    <n v="0"/>
    <s v="Giovanni Ayroldi"/>
    <n v="0"/>
    <n v="1"/>
    <n v="0"/>
    <n v="1"/>
    <n v="0"/>
    <n v="0"/>
    <n v="0"/>
    <n v="0"/>
    <s v="6."/>
    <n v="1"/>
    <n v="0"/>
    <x v="0"/>
  </r>
  <r>
    <s v="Tue Nov 30, 2021"/>
    <x v="1"/>
    <x v="2"/>
    <x v="0"/>
    <s v="18:30:00"/>
    <x v="1"/>
    <x v="21"/>
    <s v="3-4-1-2"/>
    <s v="4:0"/>
    <n v="19"/>
    <n v="8"/>
    <n v="19"/>
    <n v="8"/>
    <n v="4"/>
    <n v="2"/>
    <n v="4"/>
    <n v="2"/>
    <n v="59"/>
    <n v="41"/>
    <n v="59"/>
    <n v="41"/>
    <n v="4"/>
    <n v="2"/>
    <n v="11"/>
    <n v="9"/>
    <n v="4"/>
    <n v="2"/>
    <n v="11"/>
    <n v="9"/>
    <n v="2"/>
    <n v="3"/>
    <s v="Alberto Santoro"/>
    <n v="2"/>
    <n v="2"/>
    <n v="0"/>
    <n v="0"/>
    <n v="2"/>
    <n v="2"/>
    <n v="0"/>
    <n v="0"/>
    <s v="16."/>
    <n v="4"/>
    <n v="0"/>
    <x v="0"/>
  </r>
  <r>
    <s v="Sat Dec 4, 2021"/>
    <x v="1"/>
    <x v="4"/>
    <x v="1"/>
    <s v="20:45:00"/>
    <x v="0"/>
    <x v="3"/>
    <s v="3-4-2-1"/>
    <s v="2:3"/>
    <n v="15"/>
    <n v="21"/>
    <n v="21"/>
    <n v="15"/>
    <n v="4"/>
    <n v="2"/>
    <n v="2"/>
    <n v="4"/>
    <n v="55"/>
    <n v="45"/>
    <n v="45"/>
    <n v="55"/>
    <n v="6"/>
    <n v="7"/>
    <n v="16"/>
    <n v="18"/>
    <n v="7"/>
    <n v="6"/>
    <n v="18"/>
    <n v="16"/>
    <n v="0"/>
    <n v="0"/>
    <s v="Maurizio Mariani"/>
    <n v="1"/>
    <n v="1"/>
    <n v="1"/>
    <n v="1"/>
    <n v="1"/>
    <n v="2"/>
    <n v="1"/>
    <n v="2"/>
    <s v="1."/>
    <n v="3"/>
    <n v="2"/>
    <x v="0"/>
  </r>
  <r>
    <s v="Sun Dec 12, 2021"/>
    <x v="1"/>
    <x v="4"/>
    <x v="1"/>
    <s v="15:00:00"/>
    <x v="0"/>
    <x v="8"/>
    <s v="3-4-2-1"/>
    <s v="1:2"/>
    <n v="19"/>
    <n v="14"/>
    <n v="14"/>
    <n v="19"/>
    <n v="4"/>
    <n v="2"/>
    <n v="2"/>
    <n v="4"/>
    <n v="53"/>
    <n v="47"/>
    <n v="47"/>
    <n v="53"/>
    <n v="6"/>
    <n v="6"/>
    <n v="13"/>
    <n v="10"/>
    <n v="6"/>
    <n v="6"/>
    <n v="10"/>
    <n v="13"/>
    <n v="1"/>
    <n v="2"/>
    <s v="Juan Luca Sacchi"/>
    <n v="1"/>
    <n v="1"/>
    <n v="1"/>
    <n v="1"/>
    <n v="0"/>
    <n v="1"/>
    <n v="0"/>
    <n v="1"/>
    <s v="10."/>
    <n v="2"/>
    <n v="1"/>
    <x v="0"/>
  </r>
  <r>
    <s v="Sat Dec 18, 2021"/>
    <x v="1"/>
    <x v="4"/>
    <x v="1"/>
    <s v="15:00:00"/>
    <x v="1"/>
    <x v="12"/>
    <s v="3-4-2-1"/>
    <s v="1:4"/>
    <n v="17"/>
    <n v="8"/>
    <n v="17"/>
    <n v="8"/>
    <n v="1"/>
    <n v="6"/>
    <n v="1"/>
    <n v="6"/>
    <n v="71"/>
    <n v="29"/>
    <n v="71"/>
    <n v="29"/>
    <n v="10"/>
    <n v="0"/>
    <n v="11"/>
    <n v="16"/>
    <n v="10"/>
    <n v="0"/>
    <n v="11"/>
    <n v="16"/>
    <n v="3"/>
    <n v="2"/>
    <s v="Massimiliano Irrati"/>
    <n v="0"/>
    <n v="0"/>
    <n v="2"/>
    <n v="2"/>
    <n v="1"/>
    <n v="1"/>
    <n v="2"/>
    <n v="2"/>
    <s v="7."/>
    <n v="1"/>
    <n v="4"/>
    <x v="1"/>
  </r>
  <r>
    <s v="Tue Dec 21, 2021"/>
    <x v="1"/>
    <x v="4"/>
    <x v="1"/>
    <s v="20:45:00"/>
    <x v="0"/>
    <x v="17"/>
    <s v="3-4-2-1"/>
    <s v="0:0"/>
    <n v="1"/>
    <n v="14"/>
    <n v="14"/>
    <n v="1"/>
    <n v="3"/>
    <n v="3"/>
    <n v="3"/>
    <n v="3"/>
    <n v="46"/>
    <n v="54"/>
    <n v="54"/>
    <n v="46"/>
    <n v="3"/>
    <n v="7"/>
    <n v="13"/>
    <n v="11"/>
    <n v="7"/>
    <n v="3"/>
    <n v="11"/>
    <n v="13"/>
    <n v="3"/>
    <n v="2"/>
    <s v="paolo Valeri"/>
    <n v="0"/>
    <n v="0"/>
    <n v="0"/>
    <n v="0"/>
    <n v="0"/>
    <n v="0"/>
    <n v="0"/>
    <n v="0"/>
    <s v="18."/>
    <n v="0"/>
    <n v="0"/>
    <x v="2"/>
  </r>
  <r>
    <s v="Wed Apr 27, 2022"/>
    <x v="2"/>
    <x v="7"/>
    <x v="2"/>
    <s v="20:15:00"/>
    <x v="1"/>
    <x v="1"/>
    <s v="3-4-1-2"/>
    <s v="4:4"/>
    <n v="16"/>
    <n v="5"/>
    <n v="16"/>
    <n v="5"/>
    <n v="1"/>
    <n v="1"/>
    <n v="1"/>
    <n v="1"/>
    <n v="50"/>
    <n v="50"/>
    <n v="50"/>
    <n v="50"/>
    <n v="8"/>
    <n v="0"/>
    <n v="12"/>
    <n v="11"/>
    <n v="8"/>
    <n v="0"/>
    <n v="12"/>
    <n v="11"/>
    <n v="2"/>
    <n v="1"/>
    <s v="Rosario Abisso"/>
    <n v="2"/>
    <n v="2"/>
    <n v="2"/>
    <n v="2"/>
    <n v="2"/>
    <n v="2"/>
    <n v="2"/>
    <n v="2"/>
    <s v="11."/>
    <n v="4"/>
    <n v="4"/>
    <x v="2"/>
  </r>
  <r>
    <s v="Sun Jan 9, 2022"/>
    <x v="2"/>
    <x v="3"/>
    <x v="1"/>
    <s v="16:30:00"/>
    <x v="0"/>
    <x v="9"/>
    <s v="3-4-2-1"/>
    <s v="2:6"/>
    <n v="8"/>
    <n v="21"/>
    <n v="21"/>
    <n v="8"/>
    <n v="1"/>
    <n v="3"/>
    <n v="3"/>
    <n v="1"/>
    <n v="39"/>
    <n v="61"/>
    <n v="61"/>
    <n v="39"/>
    <n v="2"/>
    <n v="5"/>
    <n v="9"/>
    <n v="12"/>
    <n v="5"/>
    <n v="2"/>
    <n v="12"/>
    <n v="9"/>
    <n v="2"/>
    <n v="1"/>
    <s v="Michael Fabbri"/>
    <n v="0"/>
    <n v="3"/>
    <n v="0"/>
    <n v="3"/>
    <n v="2"/>
    <n v="3"/>
    <n v="2"/>
    <n v="3"/>
    <s v="14."/>
    <n v="6"/>
    <n v="2"/>
    <x v="0"/>
  </r>
  <r>
    <s v="Sun Jan 16, 2022"/>
    <x v="2"/>
    <x v="3"/>
    <x v="1"/>
    <s v="20:45:00"/>
    <x v="1"/>
    <x v="6"/>
    <s v="4-2-3-1"/>
    <s v="0:0"/>
    <n v="12"/>
    <n v="11"/>
    <n v="12"/>
    <n v="11"/>
    <n v="3"/>
    <n v="6"/>
    <n v="3"/>
    <n v="6"/>
    <n v="36"/>
    <n v="64"/>
    <n v="36"/>
    <n v="64"/>
    <n v="6"/>
    <n v="4"/>
    <n v="12"/>
    <n v="10"/>
    <n v="6"/>
    <n v="4"/>
    <n v="12"/>
    <n v="10"/>
    <n v="0"/>
    <n v="3"/>
    <s v="Davide Massa"/>
    <n v="0"/>
    <n v="0"/>
    <n v="0"/>
    <n v="0"/>
    <n v="0"/>
    <n v="0"/>
    <n v="0"/>
    <n v="0"/>
    <s v="1."/>
    <n v="0"/>
    <n v="0"/>
    <x v="2"/>
  </r>
  <r>
    <s v="Sat Jan 22, 2022"/>
    <x v="2"/>
    <x v="3"/>
    <x v="1"/>
    <s v="20:45:00"/>
    <x v="0"/>
    <x v="0"/>
    <s v="3-4-1-2"/>
    <s v="0:0"/>
    <n v="9"/>
    <n v="6"/>
    <n v="6"/>
    <n v="9"/>
    <n v="2"/>
    <n v="1"/>
    <n v="1"/>
    <n v="2"/>
    <n v="61"/>
    <n v="39"/>
    <n v="39"/>
    <n v="61"/>
    <n v="4"/>
    <n v="1"/>
    <n v="10"/>
    <n v="17"/>
    <n v="1"/>
    <n v="4"/>
    <n v="17"/>
    <n v="10"/>
    <n v="2"/>
    <n v="2"/>
    <s v="Simone Sozza"/>
    <n v="0"/>
    <n v="0"/>
    <n v="0"/>
    <n v="0"/>
    <n v="0"/>
    <n v="0"/>
    <n v="0"/>
    <n v="0"/>
    <s v="6."/>
    <n v="0"/>
    <n v="0"/>
    <x v="2"/>
  </r>
  <r>
    <s v="Sun Feb 6, 2022"/>
    <x v="2"/>
    <x v="5"/>
    <x v="1"/>
    <s v="12:30:00"/>
    <x v="1"/>
    <x v="2"/>
    <s v="4-2-3-1"/>
    <s v="1:2"/>
    <n v="10"/>
    <n v="7"/>
    <n v="10"/>
    <n v="7"/>
    <n v="2"/>
    <n v="2"/>
    <n v="2"/>
    <n v="2"/>
    <n v="60"/>
    <n v="40"/>
    <n v="60"/>
    <n v="40"/>
    <n v="3"/>
    <n v="1"/>
    <n v="13"/>
    <n v="14"/>
    <n v="3"/>
    <n v="1"/>
    <n v="13"/>
    <n v="14"/>
    <n v="1"/>
    <n v="3"/>
    <s v="Alessandro Prontera"/>
    <n v="0"/>
    <n v="0"/>
    <n v="0"/>
    <n v="0"/>
    <n v="1"/>
    <n v="1"/>
    <n v="2"/>
    <n v="2"/>
    <s v="18."/>
    <n v="1"/>
    <n v="2"/>
    <x v="1"/>
  </r>
  <r>
    <s v="Sun Feb 13, 2022"/>
    <x v="2"/>
    <x v="5"/>
    <x v="1"/>
    <s v="20:45:00"/>
    <x v="1"/>
    <x v="11"/>
    <s v="3-4-2-1"/>
    <s v="1:1"/>
    <n v="21"/>
    <n v="15"/>
    <n v="21"/>
    <n v="15"/>
    <n v="5"/>
    <n v="2"/>
    <n v="5"/>
    <n v="2"/>
    <n v="53"/>
    <n v="47"/>
    <n v="53"/>
    <n v="47"/>
    <n v="8"/>
    <n v="8"/>
    <n v="13"/>
    <n v="9"/>
    <n v="8"/>
    <n v="8"/>
    <n v="13"/>
    <n v="9"/>
    <n v="0"/>
    <n v="3"/>
    <s v="Maurizio Mariani"/>
    <n v="0"/>
    <n v="0"/>
    <n v="0"/>
    <n v="0"/>
    <n v="1"/>
    <n v="1"/>
    <n v="1"/>
    <n v="1"/>
    <s v="4."/>
    <n v="1"/>
    <n v="1"/>
    <x v="2"/>
  </r>
  <r>
    <s v="Sun Feb 20, 2022"/>
    <x v="2"/>
    <x v="5"/>
    <x v="1"/>
    <s v="12:30:00"/>
    <x v="0"/>
    <x v="10"/>
    <s v="3-4-2-1"/>
    <s v="1:0"/>
    <n v="6"/>
    <n v="7"/>
    <n v="7"/>
    <n v="6"/>
    <n v="1"/>
    <n v="2"/>
    <n v="2"/>
    <n v="1"/>
    <n v="50"/>
    <n v="50"/>
    <n v="50"/>
    <n v="50"/>
    <n v="2"/>
    <n v="1"/>
    <n v="17"/>
    <n v="20"/>
    <n v="1"/>
    <n v="2"/>
    <n v="20"/>
    <n v="17"/>
    <n v="3"/>
    <n v="5"/>
    <s v="Daniele Doveri"/>
    <n v="0"/>
    <n v="0"/>
    <n v="0"/>
    <n v="0"/>
    <n v="1"/>
    <n v="0"/>
    <n v="1"/>
    <n v="0"/>
    <s v="8."/>
    <n v="0"/>
    <n v="1"/>
    <x v="1"/>
  </r>
  <r>
    <s v="Mon Feb 28, 2022"/>
    <x v="2"/>
    <x v="5"/>
    <x v="1"/>
    <s v="20:45:00"/>
    <x v="1"/>
    <x v="4"/>
    <s v="4-2-3-1"/>
    <s v="4:0"/>
    <n v="19"/>
    <n v="6"/>
    <n v="19"/>
    <n v="6"/>
    <n v="1"/>
    <n v="5"/>
    <n v="1"/>
    <n v="5"/>
    <n v="56"/>
    <n v="44"/>
    <n v="56"/>
    <n v="44"/>
    <n v="8"/>
    <n v="1"/>
    <n v="16"/>
    <n v="4"/>
    <n v="8"/>
    <n v="1"/>
    <n v="16"/>
    <n v="4"/>
    <n v="4"/>
    <n v="1"/>
    <s v="Simone Sozza"/>
    <n v="2"/>
    <n v="2"/>
    <n v="0"/>
    <n v="0"/>
    <n v="2"/>
    <n v="2"/>
    <n v="0"/>
    <n v="0"/>
    <s v="15."/>
    <n v="4"/>
    <n v="0"/>
    <x v="0"/>
  </r>
  <r>
    <s v="Sat Mar 5, 2022"/>
    <x v="2"/>
    <x v="6"/>
    <x v="2"/>
    <s v="18:00:00"/>
    <x v="0"/>
    <x v="12"/>
    <s v="4-2-3-1"/>
    <s v="1:0"/>
    <n v="13"/>
    <n v="7"/>
    <n v="7"/>
    <n v="13"/>
    <n v="4"/>
    <n v="3"/>
    <n v="3"/>
    <n v="4"/>
    <n v="35"/>
    <n v="65"/>
    <n v="65"/>
    <n v="35"/>
    <n v="6"/>
    <n v="3"/>
    <n v="17"/>
    <n v="16"/>
    <n v="3"/>
    <n v="6"/>
    <n v="16"/>
    <n v="17"/>
    <n v="3"/>
    <n v="4"/>
    <s v="Davide Massa"/>
    <n v="1"/>
    <n v="0"/>
    <n v="1"/>
    <n v="0"/>
    <n v="0"/>
    <n v="0"/>
    <n v="0"/>
    <n v="0"/>
    <s v="6."/>
    <n v="0"/>
    <n v="1"/>
    <x v="1"/>
  </r>
  <r>
    <s v="Sun Mar 13, 2022"/>
    <x v="2"/>
    <x v="6"/>
    <x v="2"/>
    <s v="18:00:00"/>
    <x v="1"/>
    <x v="17"/>
    <s v="3-4-1-2"/>
    <s v="0:0"/>
    <n v="11"/>
    <n v="13"/>
    <n v="11"/>
    <n v="13"/>
    <n v="3"/>
    <n v="2"/>
    <n v="3"/>
    <n v="2"/>
    <n v="58"/>
    <n v="42"/>
    <n v="58"/>
    <n v="42"/>
    <n v="4"/>
    <n v="3"/>
    <n v="13"/>
    <n v="18"/>
    <n v="4"/>
    <n v="3"/>
    <n v="13"/>
    <n v="18"/>
    <n v="2"/>
    <n v="1"/>
    <s v="Rosario Abisso"/>
    <n v="0"/>
    <n v="0"/>
    <n v="0"/>
    <n v="0"/>
    <n v="0"/>
    <n v="0"/>
    <n v="0"/>
    <n v="0"/>
    <s v="20."/>
    <n v="0"/>
    <n v="0"/>
    <x v="2"/>
  </r>
  <r>
    <s v="Sun Mar 20, 2022"/>
    <x v="2"/>
    <x v="6"/>
    <x v="2"/>
    <s v="20:45:00"/>
    <x v="0"/>
    <x v="13"/>
    <s v="3-4-2-1"/>
    <s v="0:1"/>
    <n v="12"/>
    <n v="15"/>
    <n v="15"/>
    <n v="12"/>
    <n v="1"/>
    <n v="3"/>
    <n v="3"/>
    <n v="1"/>
    <n v="61"/>
    <n v="39"/>
    <n v="39"/>
    <n v="61"/>
    <n v="6"/>
    <n v="3"/>
    <n v="9"/>
    <n v="12"/>
    <n v="3"/>
    <n v="6"/>
    <n v="12"/>
    <n v="9"/>
    <n v="2"/>
    <n v="5"/>
    <s v="Fabio Maresca"/>
    <n v="0"/>
    <n v="0"/>
    <n v="0"/>
    <n v="0"/>
    <n v="0"/>
    <n v="1"/>
    <n v="0"/>
    <n v="1"/>
    <s v="12."/>
    <n v="1"/>
    <n v="0"/>
    <x v="0"/>
  </r>
  <r>
    <s v="Sun Apr 3, 2022"/>
    <x v="2"/>
    <x v="7"/>
    <x v="2"/>
    <s v="15:00:00"/>
    <x v="1"/>
    <x v="3"/>
    <s v="3-4-1-2"/>
    <s v="1:3"/>
    <n v="19"/>
    <n v="6"/>
    <n v="19"/>
    <n v="6"/>
    <n v="2"/>
    <n v="2"/>
    <n v="2"/>
    <n v="2"/>
    <n v="56"/>
    <n v="44"/>
    <n v="56"/>
    <n v="44"/>
    <n v="9"/>
    <n v="1"/>
    <n v="15"/>
    <n v="11"/>
    <n v="9"/>
    <n v="1"/>
    <n v="15"/>
    <n v="11"/>
    <n v="0"/>
    <n v="3"/>
    <s v="Marco Di bello"/>
    <n v="0"/>
    <n v="0"/>
    <n v="2"/>
    <n v="2"/>
    <n v="1"/>
    <n v="1"/>
    <n v="1"/>
    <n v="1"/>
    <s v="2."/>
    <n v="1"/>
    <n v="3"/>
    <x v="1"/>
  </r>
  <r>
    <s v="Sun Apr 10, 2022"/>
    <x v="2"/>
    <x v="7"/>
    <x v="2"/>
    <s v="15:00:00"/>
    <x v="0"/>
    <x v="14"/>
    <s v="3-4-2-1"/>
    <s v="2:1"/>
    <n v="14"/>
    <n v="15"/>
    <n v="15"/>
    <n v="14"/>
    <n v="3"/>
    <n v="5"/>
    <n v="5"/>
    <n v="3"/>
    <n v="50"/>
    <n v="50"/>
    <n v="50"/>
    <n v="50"/>
    <n v="8"/>
    <n v="8"/>
    <n v="18"/>
    <n v="14"/>
    <n v="8"/>
    <n v="8"/>
    <n v="14"/>
    <n v="18"/>
    <n v="2"/>
    <n v="4"/>
    <s v="Juan Luca Sacchi"/>
    <n v="1"/>
    <n v="0"/>
    <n v="1"/>
    <n v="0"/>
    <n v="1"/>
    <n v="1"/>
    <n v="1"/>
    <n v="1"/>
    <s v="10."/>
    <n v="1"/>
    <n v="2"/>
    <x v="1"/>
  </r>
  <r>
    <s v="Mon Apr 18, 2022"/>
    <x v="2"/>
    <x v="7"/>
    <x v="2"/>
    <s v="21:00:00"/>
    <x v="1"/>
    <x v="8"/>
    <s v="3-4-2-1"/>
    <s v="1:2"/>
    <n v="17"/>
    <n v="21"/>
    <n v="17"/>
    <n v="21"/>
    <n v="5"/>
    <n v="3"/>
    <n v="5"/>
    <n v="3"/>
    <n v="56"/>
    <n v="44"/>
    <n v="56"/>
    <n v="44"/>
    <n v="10"/>
    <n v="1"/>
    <n v="13"/>
    <n v="13"/>
    <n v="10"/>
    <n v="1"/>
    <n v="13"/>
    <n v="13"/>
    <n v="1"/>
    <n v="1"/>
    <s v="Marco Piccinini"/>
    <n v="0"/>
    <n v="0"/>
    <n v="0"/>
    <n v="0"/>
    <n v="1"/>
    <n v="1"/>
    <n v="2"/>
    <n v="2"/>
    <s v="10."/>
    <n v="1"/>
    <n v="2"/>
    <x v="1"/>
  </r>
  <r>
    <s v="Sat Apr 23, 2022"/>
    <x v="2"/>
    <x v="7"/>
    <x v="2"/>
    <s v="15:00:00"/>
    <x v="0"/>
    <x v="21"/>
    <s v="3-4-1-2"/>
    <s v="1:3"/>
    <n v="8"/>
    <n v="19"/>
    <n v="19"/>
    <n v="8"/>
    <n v="1"/>
    <n v="1"/>
    <n v="1"/>
    <n v="1"/>
    <n v="40"/>
    <n v="60"/>
    <n v="60"/>
    <n v="40"/>
    <n v="0"/>
    <n v="7"/>
    <n v="12"/>
    <n v="13"/>
    <n v="7"/>
    <n v="0"/>
    <n v="13"/>
    <n v="12"/>
    <n v="2"/>
    <n v="0"/>
    <s v="Francesco Fourneau"/>
    <n v="0"/>
    <n v="0"/>
    <n v="0"/>
    <n v="0"/>
    <n v="1"/>
    <n v="3"/>
    <n v="1"/>
    <n v="3"/>
    <s v="20."/>
    <n v="3"/>
    <n v="1"/>
    <x v="0"/>
  </r>
  <r>
    <s v="Mon May 2, 2022"/>
    <x v="2"/>
    <x v="8"/>
    <x v="2"/>
    <s v="20:45:00"/>
    <x v="1"/>
    <x v="19"/>
    <s v="3-4-2-1"/>
    <s v="1:1"/>
    <n v="20"/>
    <n v="11"/>
    <n v="20"/>
    <n v="11"/>
    <n v="8"/>
    <n v="4"/>
    <n v="8"/>
    <n v="4"/>
    <n v="63"/>
    <n v="37"/>
    <n v="63"/>
    <n v="37"/>
    <n v="11"/>
    <n v="4"/>
    <n v="13"/>
    <n v="9"/>
    <n v="11"/>
    <n v="4"/>
    <n v="13"/>
    <n v="9"/>
    <n v="2"/>
    <n v="0"/>
    <s v="Marco Guida"/>
    <n v="0"/>
    <n v="0"/>
    <n v="0"/>
    <n v="0"/>
    <n v="1"/>
    <n v="1"/>
    <n v="1"/>
    <n v="1"/>
    <s v="18."/>
    <n v="1"/>
    <n v="1"/>
    <x v="2"/>
  </r>
  <r>
    <s v="Sun May 8, 2022"/>
    <x v="2"/>
    <x v="8"/>
    <x v="2"/>
    <s v="12:30:00"/>
    <x v="0"/>
    <x v="7"/>
    <s v="3-4-2-1"/>
    <s v="1:3"/>
    <n v="5"/>
    <n v="17"/>
    <n v="17"/>
    <n v="5"/>
    <n v="3"/>
    <n v="0"/>
    <n v="0"/>
    <n v="3"/>
    <n v="35"/>
    <n v="65"/>
    <n v="65"/>
    <n v="35"/>
    <n v="0"/>
    <n v="3"/>
    <n v="10"/>
    <n v="12"/>
    <n v="3"/>
    <n v="0"/>
    <n v="12"/>
    <n v="10"/>
    <n v="4"/>
    <n v="3"/>
    <s v="Fabio Maresca"/>
    <n v="1"/>
    <n v="1"/>
    <n v="1"/>
    <n v="1"/>
    <n v="0"/>
    <n v="2"/>
    <n v="0"/>
    <n v="2"/>
    <s v="16."/>
    <n v="3"/>
    <n v="1"/>
    <x v="0"/>
  </r>
  <r>
    <s v="Sun May 15, 2022"/>
    <x v="2"/>
    <x v="8"/>
    <x v="2"/>
    <s v="18:00:00"/>
    <x v="0"/>
    <x v="18"/>
    <s v="3-4-2-1"/>
    <s v="2:0"/>
    <n v="12"/>
    <n v="12"/>
    <n v="12"/>
    <n v="12"/>
    <n v="2"/>
    <n v="4"/>
    <n v="4"/>
    <n v="2"/>
    <n v="46"/>
    <n v="54"/>
    <n v="54"/>
    <n v="46"/>
    <n v="4"/>
    <n v="6"/>
    <n v="8"/>
    <n v="14"/>
    <n v="6"/>
    <n v="4"/>
    <n v="14"/>
    <n v="8"/>
    <n v="0"/>
    <n v="1"/>
    <s v="Daniele Orsato"/>
    <n v="0"/>
    <n v="0"/>
    <n v="0"/>
    <n v="0"/>
    <n v="2"/>
    <n v="0"/>
    <n v="2"/>
    <n v="0"/>
    <s v="1."/>
    <n v="0"/>
    <n v="2"/>
    <x v="1"/>
  </r>
  <r>
    <s v="Sat May 21, 2022"/>
    <x v="2"/>
    <x v="8"/>
    <x v="2"/>
    <s v="20:45:00"/>
    <x v="1"/>
    <x v="20"/>
    <s v="3-4-1-2"/>
    <s v="0:1"/>
    <n v="40"/>
    <n v="7"/>
    <n v="40"/>
    <n v="7"/>
    <n v="2"/>
    <n v="9"/>
    <n v="2"/>
    <n v="9"/>
    <n v="62"/>
    <n v="38"/>
    <n v="62"/>
    <n v="38"/>
    <n v="15"/>
    <n v="2"/>
    <n v="6"/>
    <n v="7"/>
    <n v="15"/>
    <n v="2"/>
    <n v="6"/>
    <n v="7"/>
    <n v="2"/>
    <n v="2"/>
    <s v="Rosario Abisso"/>
    <n v="0"/>
    <n v="0"/>
    <n v="0"/>
    <n v="0"/>
    <n v="0"/>
    <n v="0"/>
    <n v="1"/>
    <n v="1"/>
    <s v="14."/>
    <n v="0"/>
    <n v="1"/>
    <x v="1"/>
  </r>
  <r>
    <s v="Sat Aug 13, 2022"/>
    <x v="2"/>
    <x v="9"/>
    <x v="3"/>
    <s v="18:30:00"/>
    <x v="0"/>
    <x v="4"/>
    <s v="3-4-1-2"/>
    <s v="0:2"/>
    <n v="11"/>
    <n v="9"/>
    <n v="9"/>
    <n v="11"/>
    <n v="1"/>
    <n v="1"/>
    <n v="1"/>
    <n v="1"/>
    <n v="55"/>
    <n v="45"/>
    <n v="45"/>
    <n v="55"/>
    <n v="3"/>
    <n v="2"/>
    <n v="13"/>
    <n v="21"/>
    <n v="2"/>
    <n v="3"/>
    <n v="21"/>
    <n v="13"/>
    <n v="1"/>
    <n v="2"/>
    <s v="Federico Dionisi"/>
    <n v="0"/>
    <n v="1"/>
    <n v="0"/>
    <n v="1"/>
    <n v="0"/>
    <n v="1"/>
    <n v="0"/>
    <n v="1"/>
    <s v="20."/>
    <n v="2"/>
    <n v="0"/>
    <x v="0"/>
  </r>
  <r>
    <s v="Sun Aug 21, 2022"/>
    <x v="2"/>
    <x v="9"/>
    <x v="3"/>
    <s v="20:45:00"/>
    <x v="1"/>
    <x v="18"/>
    <s v="3-4-2-1"/>
    <s v="1:1"/>
    <n v="11"/>
    <n v="18"/>
    <n v="11"/>
    <n v="18"/>
    <n v="6"/>
    <n v="1"/>
    <n v="6"/>
    <n v="1"/>
    <n v="41"/>
    <n v="59"/>
    <n v="41"/>
    <n v="59"/>
    <n v="4"/>
    <n v="6"/>
    <n v="15"/>
    <n v="6"/>
    <n v="4"/>
    <n v="6"/>
    <n v="15"/>
    <n v="6"/>
    <n v="0"/>
    <n v="3"/>
    <s v="fabio Maresca"/>
    <n v="1"/>
    <n v="1"/>
    <n v="0"/>
    <n v="0"/>
    <n v="0"/>
    <n v="0"/>
    <n v="1"/>
    <n v="1"/>
    <s v="2."/>
    <n v="1"/>
    <n v="1"/>
    <x v="2"/>
  </r>
  <r>
    <s v="Sun Aug 28, 2022"/>
    <x v="2"/>
    <x v="9"/>
    <x v="3"/>
    <s v="18:30:00"/>
    <x v="0"/>
    <x v="8"/>
    <s v="3-4-2-1"/>
    <s v="0:1"/>
    <n v="14"/>
    <n v="15"/>
    <n v="15"/>
    <n v="14"/>
    <n v="6"/>
    <n v="2"/>
    <n v="2"/>
    <n v="6"/>
    <n v="49"/>
    <n v="51"/>
    <n v="51"/>
    <n v="49"/>
    <n v="7"/>
    <n v="6"/>
    <n v="15"/>
    <n v="7"/>
    <n v="6"/>
    <n v="7"/>
    <n v="7"/>
    <n v="15"/>
    <n v="2"/>
    <n v="0"/>
    <s v="Alessandro Prontera"/>
    <n v="0"/>
    <n v="0"/>
    <n v="0"/>
    <n v="0"/>
    <n v="0"/>
    <n v="1"/>
    <n v="0"/>
    <n v="1"/>
    <s v="14."/>
    <n v="1"/>
    <n v="0"/>
    <x v="0"/>
  </r>
  <r>
    <s v="Thu Sep 1, 2022"/>
    <x v="2"/>
    <x v="0"/>
    <x v="0"/>
    <s v="20:45:00"/>
    <x v="1"/>
    <x v="1"/>
    <s v="3-4-2-1"/>
    <s v="3:1"/>
    <n v="12"/>
    <n v="8"/>
    <n v="12"/>
    <n v="8"/>
    <n v="1"/>
    <n v="2"/>
    <n v="1"/>
    <n v="2"/>
    <n v="41"/>
    <n v="59"/>
    <n v="41"/>
    <n v="59"/>
    <n v="7"/>
    <n v="2"/>
    <n v="14"/>
    <n v="13"/>
    <n v="7"/>
    <n v="2"/>
    <n v="14"/>
    <n v="13"/>
    <n v="5"/>
    <n v="3"/>
    <s v="Marco Di Bello"/>
    <n v="0"/>
    <n v="0"/>
    <n v="0"/>
    <n v="0"/>
    <n v="3"/>
    <n v="3"/>
    <n v="1"/>
    <n v="1"/>
    <s v="4."/>
    <n v="3"/>
    <n v="1"/>
    <x v="0"/>
  </r>
  <r>
    <s v="Mon Sep 5, 2022"/>
    <x v="2"/>
    <x v="0"/>
    <x v="0"/>
    <s v="18:30:00"/>
    <x v="0"/>
    <x v="22"/>
    <s v="4-2-3-1"/>
    <s v="0:2"/>
    <n v="10"/>
    <n v="13"/>
    <n v="13"/>
    <n v="10"/>
    <n v="5"/>
    <n v="3"/>
    <n v="3"/>
    <n v="5"/>
    <n v="59"/>
    <n v="41"/>
    <n v="41"/>
    <n v="59"/>
    <n v="4"/>
    <n v="9"/>
    <n v="9"/>
    <n v="10"/>
    <n v="9"/>
    <n v="4"/>
    <n v="10"/>
    <n v="9"/>
    <n v="0"/>
    <n v="1"/>
    <s v="Juan Luca Sacchi"/>
    <n v="0"/>
    <n v="0"/>
    <n v="0"/>
    <n v="0"/>
    <n v="0"/>
    <n v="2"/>
    <n v="0"/>
    <n v="2"/>
    <s v="19."/>
    <n v="2"/>
    <n v="0"/>
    <x v="0"/>
  </r>
  <r>
    <s v="Sun Sep 11, 2022"/>
    <x v="2"/>
    <x v="0"/>
    <x v="0"/>
    <s v="12:30:00"/>
    <x v="1"/>
    <x v="23"/>
    <s v="3-4-2-1"/>
    <s v="1:1"/>
    <n v="14"/>
    <n v="7"/>
    <n v="14"/>
    <n v="7"/>
    <n v="3"/>
    <n v="5"/>
    <n v="3"/>
    <n v="5"/>
    <n v="58"/>
    <n v="42"/>
    <n v="58"/>
    <n v="42"/>
    <n v="3"/>
    <n v="3"/>
    <n v="9"/>
    <n v="17"/>
    <n v="3"/>
    <n v="3"/>
    <n v="9"/>
    <n v="17"/>
    <n v="2"/>
    <n v="0"/>
    <s v="Andrea Colombo"/>
    <n v="0"/>
    <n v="0"/>
    <n v="0"/>
    <n v="0"/>
    <n v="1"/>
    <n v="1"/>
    <n v="1"/>
    <n v="1"/>
    <s v="18."/>
    <n v="1"/>
    <n v="1"/>
    <x v="2"/>
  </r>
  <r>
    <s v="Sun Sep 18, 2022"/>
    <x v="2"/>
    <x v="0"/>
    <x v="0"/>
    <s v="18:00:00"/>
    <x v="0"/>
    <x v="12"/>
    <s v="3-4-2-1"/>
    <s v="0:1"/>
    <n v="21"/>
    <n v="4"/>
    <n v="4"/>
    <n v="21"/>
    <n v="0"/>
    <n v="5"/>
    <n v="5"/>
    <n v="0"/>
    <n v="56"/>
    <n v="44"/>
    <n v="44"/>
    <n v="56"/>
    <n v="5"/>
    <n v="1"/>
    <n v="9"/>
    <n v="19"/>
    <n v="1"/>
    <n v="5"/>
    <n v="19"/>
    <n v="9"/>
    <n v="1"/>
    <n v="0"/>
    <s v="Daniele Chiffi"/>
    <n v="0"/>
    <n v="0"/>
    <n v="0"/>
    <n v="0"/>
    <n v="0"/>
    <n v="1"/>
    <n v="0"/>
    <n v="1"/>
    <s v="5."/>
    <n v="1"/>
    <n v="0"/>
    <x v="0"/>
  </r>
  <r>
    <s v="Sun Oct 2, 2022"/>
    <x v="2"/>
    <x v="1"/>
    <x v="0"/>
    <s v="18:00:00"/>
    <x v="1"/>
    <x v="10"/>
    <s v="3-4-1-2"/>
    <s v="1:0"/>
    <n v="10"/>
    <n v="16"/>
    <n v="10"/>
    <n v="16"/>
    <n v="5"/>
    <n v="4"/>
    <n v="5"/>
    <n v="4"/>
    <n v="37"/>
    <n v="63"/>
    <n v="37"/>
    <n v="63"/>
    <n v="1"/>
    <n v="5"/>
    <n v="12"/>
    <n v="10"/>
    <n v="1"/>
    <n v="5"/>
    <n v="12"/>
    <n v="10"/>
    <n v="2"/>
    <n v="0"/>
    <s v="Massimiliano Irrati"/>
    <n v="0"/>
    <n v="0"/>
    <n v="0"/>
    <n v="0"/>
    <n v="1"/>
    <n v="1"/>
    <n v="0"/>
    <n v="0"/>
    <s v="9."/>
    <n v="1"/>
    <n v="0"/>
    <x v="0"/>
  </r>
  <r>
    <s v="Sun Oct 9, 2022"/>
    <x v="2"/>
    <x v="1"/>
    <x v="0"/>
    <s v="15:00:00"/>
    <x v="0"/>
    <x v="9"/>
    <s v="3-4-2-1"/>
    <s v="2:2"/>
    <n v="10"/>
    <n v="9"/>
    <n v="9"/>
    <n v="10"/>
    <n v="3"/>
    <n v="0"/>
    <n v="0"/>
    <n v="3"/>
    <n v="59"/>
    <n v="41"/>
    <n v="41"/>
    <n v="59"/>
    <n v="5"/>
    <n v="3"/>
    <n v="11"/>
    <n v="12"/>
    <n v="3"/>
    <n v="5"/>
    <n v="12"/>
    <n v="11"/>
    <n v="0"/>
    <n v="1"/>
    <s v="Daniele Doveri"/>
    <n v="0"/>
    <n v="1"/>
    <n v="0"/>
    <n v="1"/>
    <n v="2"/>
    <n v="1"/>
    <n v="2"/>
    <n v="1"/>
    <s v="3."/>
    <n v="2"/>
    <n v="2"/>
    <x v="2"/>
  </r>
  <r>
    <s v="Sat Oct 15, 2022"/>
    <x v="2"/>
    <x v="1"/>
    <x v="0"/>
    <s v="20:45:00"/>
    <x v="1"/>
    <x v="14"/>
    <s v="3-4-1-2"/>
    <s v="2:1"/>
    <n v="16"/>
    <n v="11"/>
    <n v="16"/>
    <n v="11"/>
    <n v="2"/>
    <n v="2"/>
    <n v="2"/>
    <n v="2"/>
    <n v="48"/>
    <n v="52"/>
    <n v="48"/>
    <n v="52"/>
    <n v="3"/>
    <n v="3"/>
    <n v="10"/>
    <n v="8"/>
    <n v="3"/>
    <n v="3"/>
    <n v="10"/>
    <n v="8"/>
    <n v="3"/>
    <n v="2"/>
    <s v="Matteo Marcenaro"/>
    <n v="0"/>
    <n v="0"/>
    <n v="1"/>
    <n v="1"/>
    <n v="2"/>
    <n v="2"/>
    <n v="0"/>
    <n v="0"/>
    <s v="8."/>
    <n v="2"/>
    <n v="1"/>
    <x v="0"/>
  </r>
  <r>
    <s v="Sun Oct 23, 2022"/>
    <x v="2"/>
    <x v="1"/>
    <x v="0"/>
    <s v="18:00:00"/>
    <x v="1"/>
    <x v="0"/>
    <s v="3-4-1-2"/>
    <s v="0:2"/>
    <n v="7"/>
    <n v="12"/>
    <n v="7"/>
    <n v="12"/>
    <n v="3"/>
    <n v="0"/>
    <n v="3"/>
    <n v="0"/>
    <n v="47"/>
    <n v="53"/>
    <n v="47"/>
    <n v="53"/>
    <n v="5"/>
    <n v="8"/>
    <n v="15"/>
    <n v="9"/>
    <n v="5"/>
    <n v="8"/>
    <n v="15"/>
    <n v="9"/>
    <n v="1"/>
    <n v="0"/>
    <s v="Rosario Abisso"/>
    <n v="0"/>
    <n v="0"/>
    <n v="1"/>
    <n v="1"/>
    <n v="0"/>
    <n v="0"/>
    <n v="1"/>
    <n v="1"/>
    <s v="5."/>
    <n v="0"/>
    <n v="2"/>
    <x v="1"/>
  </r>
  <r>
    <s v="Sun Oct 30, 2022"/>
    <x v="2"/>
    <x v="1"/>
    <x v="0"/>
    <s v="12:30:00"/>
    <x v="0"/>
    <x v="20"/>
    <s v="3-4-2-1"/>
    <s v="0:2"/>
    <n v="13"/>
    <n v="20"/>
    <n v="20"/>
    <n v="13"/>
    <n v="4"/>
    <n v="3"/>
    <n v="3"/>
    <n v="4"/>
    <n v="52"/>
    <n v="48"/>
    <n v="48"/>
    <n v="52"/>
    <n v="7"/>
    <n v="2"/>
    <n v="10"/>
    <n v="13"/>
    <n v="2"/>
    <n v="7"/>
    <n v="13"/>
    <n v="10"/>
    <n v="4"/>
    <n v="2"/>
    <s v="Giovanni Ayroldi"/>
    <n v="0"/>
    <n v="1"/>
    <n v="0"/>
    <n v="1"/>
    <n v="0"/>
    <n v="1"/>
    <n v="0"/>
    <n v="1"/>
    <s v="11."/>
    <n v="2"/>
    <n v="0"/>
    <x v="0"/>
  </r>
  <r>
    <s v="Sat Nov 5, 2022"/>
    <x v="2"/>
    <x v="2"/>
    <x v="0"/>
    <s v="18:00:00"/>
    <x v="1"/>
    <x v="3"/>
    <s v="3-4-1-2"/>
    <s v="1:2"/>
    <n v="17"/>
    <n v="7"/>
    <n v="17"/>
    <n v="7"/>
    <n v="3"/>
    <n v="3"/>
    <n v="3"/>
    <n v="3"/>
    <n v="54"/>
    <n v="46"/>
    <n v="54"/>
    <n v="46"/>
    <n v="5"/>
    <n v="2"/>
    <n v="10"/>
    <n v="9"/>
    <n v="5"/>
    <n v="2"/>
    <n v="10"/>
    <n v="9"/>
    <n v="2"/>
    <n v="2"/>
    <s v="Maurizio Mariani"/>
    <n v="1"/>
    <n v="1"/>
    <n v="2"/>
    <n v="2"/>
    <n v="0"/>
    <n v="0"/>
    <n v="0"/>
    <n v="0"/>
    <s v="1."/>
    <n v="1"/>
    <n v="2"/>
    <x v="1"/>
  </r>
  <r>
    <s v="Wed Nov 9, 2022"/>
    <x v="2"/>
    <x v="2"/>
    <x v="0"/>
    <s v="18:30:00"/>
    <x v="0"/>
    <x v="24"/>
    <s v="3-4-1-2"/>
    <s v="2: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2"/>
    <n v="1"/>
    <n v="2"/>
    <n v="1"/>
    <n v="0"/>
    <n v="0"/>
    <n v="0"/>
    <n v="0"/>
    <s v="16."/>
    <n v="1"/>
    <n v="2"/>
    <x v="1"/>
  </r>
  <r>
    <s v="Sun Nov 13, 2022"/>
    <x v="2"/>
    <x v="2"/>
    <x v="0"/>
    <s v="12:30:00"/>
    <x v="1"/>
    <x v="6"/>
    <s v="4-2-3-1"/>
    <s v="2:3"/>
    <n v="19"/>
    <n v="14"/>
    <n v="19"/>
    <n v="14"/>
    <n v="1"/>
    <n v="5"/>
    <n v="1"/>
    <n v="5"/>
    <n v="46"/>
    <n v="54"/>
    <n v="46"/>
    <n v="54"/>
    <n v="5"/>
    <n v="4"/>
    <n v="10"/>
    <n v="11"/>
    <n v="5"/>
    <n v="4"/>
    <n v="10"/>
    <n v="11"/>
    <n v="1"/>
    <n v="0"/>
    <s v="Daniele Chiffi"/>
    <n v="1"/>
    <n v="1"/>
    <n v="1"/>
    <n v="1"/>
    <n v="1"/>
    <n v="1"/>
    <n v="2"/>
    <n v="2"/>
    <s v="4."/>
    <n v="2"/>
    <n v="3"/>
    <x v="1"/>
  </r>
  <r>
    <s v="Wed Jan 4, 2023"/>
    <x v="3"/>
    <x v="3"/>
    <x v="1"/>
    <s v="14:30:00"/>
    <x v="0"/>
    <x v="7"/>
    <s v="3-4-2-1"/>
    <s v="2:2"/>
    <n v="7"/>
    <n v="19"/>
    <n v="19"/>
    <n v="7"/>
    <n v="1"/>
    <n v="1"/>
    <n v="1"/>
    <n v="1"/>
    <n v="35"/>
    <n v="65"/>
    <n v="65"/>
    <n v="35"/>
    <n v="3"/>
    <n v="8"/>
    <n v="11"/>
    <n v="11"/>
    <n v="8"/>
    <n v="3"/>
    <n v="11"/>
    <n v="11"/>
    <n v="1"/>
    <n v="1"/>
    <s v="Antonio Giua"/>
    <n v="2"/>
    <n v="0"/>
    <n v="2"/>
    <n v="0"/>
    <n v="0"/>
    <n v="2"/>
    <n v="0"/>
    <n v="2"/>
    <s v="17."/>
    <n v="2"/>
    <n v="2"/>
    <x v="2"/>
  </r>
  <r>
    <s v="Mon Jan 9, 2023"/>
    <x v="3"/>
    <x v="3"/>
    <x v="1"/>
    <s v="20:45:00"/>
    <x v="0"/>
    <x v="13"/>
    <s v="3-4-1-2"/>
    <s v="1:2"/>
    <n v="12"/>
    <n v="7"/>
    <n v="7"/>
    <n v="12"/>
    <n v="1"/>
    <n v="2"/>
    <n v="2"/>
    <n v="1"/>
    <n v="51"/>
    <n v="49"/>
    <n v="49"/>
    <n v="51"/>
    <n v="4"/>
    <n v="0"/>
    <n v="16"/>
    <n v="15"/>
    <n v="0"/>
    <n v="4"/>
    <n v="15"/>
    <n v="16"/>
    <n v="1"/>
    <n v="1"/>
    <s v="Marco Di bello"/>
    <n v="1"/>
    <n v="0"/>
    <n v="1"/>
    <n v="0"/>
    <n v="0"/>
    <n v="2"/>
    <n v="0"/>
    <n v="2"/>
    <s v="11."/>
    <n v="2"/>
    <n v="1"/>
    <x v="0"/>
  </r>
  <r>
    <s v="Sun Jan 15, 2023"/>
    <x v="3"/>
    <x v="3"/>
    <x v="1"/>
    <s v="18:00:00"/>
    <x v="1"/>
    <x v="19"/>
    <s v="3-4-2-1"/>
    <s v="8:2"/>
    <n v="19"/>
    <n v="7"/>
    <n v="19"/>
    <n v="7"/>
    <n v="0"/>
    <n v="5"/>
    <n v="0"/>
    <n v="5"/>
    <n v="57"/>
    <n v="43"/>
    <n v="57"/>
    <n v="43"/>
    <n v="5"/>
    <n v="2"/>
    <n v="10"/>
    <n v="12"/>
    <n v="5"/>
    <n v="2"/>
    <n v="10"/>
    <n v="12"/>
    <n v="1"/>
    <n v="2"/>
    <s v="Gianluca Aureliano"/>
    <n v="6"/>
    <n v="6"/>
    <n v="1"/>
    <n v="1"/>
    <n v="2"/>
    <n v="2"/>
    <n v="1"/>
    <n v="1"/>
    <s v="15."/>
    <n v="8"/>
    <n v="2"/>
    <x v="0"/>
  </r>
  <r>
    <s v="Sun Jan 22, 2023"/>
    <x v="3"/>
    <x v="3"/>
    <x v="1"/>
    <s v="20:45:00"/>
    <x v="0"/>
    <x v="11"/>
    <s v="3-4-2-1"/>
    <s v="3:3"/>
    <n v="15"/>
    <n v="14"/>
    <n v="14"/>
    <n v="15"/>
    <n v="1"/>
    <n v="5"/>
    <n v="5"/>
    <n v="1"/>
    <n v="47"/>
    <n v="53"/>
    <n v="53"/>
    <n v="47"/>
    <n v="6"/>
    <n v="4"/>
    <n v="9"/>
    <n v="6"/>
    <n v="4"/>
    <n v="6"/>
    <n v="6"/>
    <n v="9"/>
    <n v="2"/>
    <n v="0"/>
    <s v="Livio Marinelli"/>
    <n v="2"/>
    <n v="1"/>
    <n v="2"/>
    <n v="1"/>
    <n v="1"/>
    <n v="2"/>
    <n v="1"/>
    <n v="2"/>
    <s v="7."/>
    <n v="3"/>
    <n v="3"/>
    <x v="2"/>
  </r>
  <r>
    <s v="Sat Jan 28, 2023"/>
    <x v="3"/>
    <x v="3"/>
    <x v="1"/>
    <s v="20:45:00"/>
    <x v="1"/>
    <x v="4"/>
    <s v="3-4-2-1"/>
    <s v="2:0"/>
    <n v="21"/>
    <n v="15"/>
    <n v="21"/>
    <n v="15"/>
    <n v="5"/>
    <n v="3"/>
    <n v="5"/>
    <n v="3"/>
    <n v="62"/>
    <n v="38"/>
    <n v="62"/>
    <n v="38"/>
    <n v="7"/>
    <n v="4"/>
    <n v="17"/>
    <n v="11"/>
    <n v="7"/>
    <n v="4"/>
    <n v="17"/>
    <n v="11"/>
    <n v="1"/>
    <n v="1"/>
    <s v="Daniele Doveri"/>
    <n v="1"/>
    <n v="1"/>
    <n v="0"/>
    <n v="0"/>
    <n v="1"/>
    <n v="1"/>
    <n v="0"/>
    <n v="0"/>
    <s v="19."/>
    <n v="2"/>
    <n v="0"/>
    <x v="0"/>
  </r>
  <r>
    <s v="Sat Feb 4, 2023"/>
    <x v="3"/>
    <x v="5"/>
    <x v="1"/>
    <s v="20:45:00"/>
    <x v="0"/>
    <x v="14"/>
    <s v="3-4-2-1"/>
    <s v="1:0"/>
    <n v="18"/>
    <n v="7"/>
    <n v="7"/>
    <n v="18"/>
    <n v="2"/>
    <n v="7"/>
    <n v="7"/>
    <n v="2"/>
    <n v="53"/>
    <n v="47"/>
    <n v="47"/>
    <n v="53"/>
    <n v="2"/>
    <n v="7"/>
    <n v="12"/>
    <n v="13"/>
    <n v="7"/>
    <n v="2"/>
    <n v="13"/>
    <n v="12"/>
    <n v="0"/>
    <n v="2"/>
    <s v="Matteo Marcenaro"/>
    <n v="0"/>
    <n v="0"/>
    <n v="0"/>
    <n v="0"/>
    <n v="1"/>
    <n v="0"/>
    <n v="1"/>
    <n v="0"/>
    <s v="15."/>
    <n v="0"/>
    <n v="1"/>
    <x v="1"/>
  </r>
  <r>
    <s v="Sat Feb 11, 2023"/>
    <x v="3"/>
    <x v="5"/>
    <x v="1"/>
    <s v="20:45:00"/>
    <x v="0"/>
    <x v="0"/>
    <s v="3-4-2-1"/>
    <s v="0:2"/>
    <n v="13"/>
    <n v="23"/>
    <n v="23"/>
    <n v="13"/>
    <n v="8"/>
    <n v="5"/>
    <n v="5"/>
    <n v="8"/>
    <n v="60"/>
    <n v="40"/>
    <n v="40"/>
    <n v="60"/>
    <n v="5"/>
    <n v="7"/>
    <n v="12"/>
    <n v="14"/>
    <n v="7"/>
    <n v="5"/>
    <n v="14"/>
    <n v="12"/>
    <n v="0"/>
    <n v="0"/>
    <s v="Daniele Orsato"/>
    <n v="0"/>
    <n v="1"/>
    <n v="0"/>
    <n v="1"/>
    <n v="0"/>
    <n v="1"/>
    <n v="0"/>
    <n v="1"/>
    <s v="4."/>
    <n v="2"/>
    <n v="0"/>
    <x v="0"/>
  </r>
  <r>
    <s v="Sun Feb 19, 2023"/>
    <x v="3"/>
    <x v="5"/>
    <x v="1"/>
    <s v="12:30:00"/>
    <x v="1"/>
    <x v="24"/>
    <s v="3-4-2-1"/>
    <s v="1:2"/>
    <n v="20"/>
    <n v="4"/>
    <n v="20"/>
    <n v="4"/>
    <n v="0"/>
    <n v="9"/>
    <n v="0"/>
    <n v="9"/>
    <n v="70"/>
    <n v="30"/>
    <n v="70"/>
    <n v="30"/>
    <n v="6"/>
    <n v="1"/>
    <n v="10"/>
    <n v="12"/>
    <n v="6"/>
    <n v="1"/>
    <n v="10"/>
    <n v="12"/>
    <n v="2"/>
    <n v="2"/>
    <s v="Matteo Piccinini"/>
    <n v="0"/>
    <n v="0"/>
    <n v="1"/>
    <n v="1"/>
    <n v="1"/>
    <n v="1"/>
    <n v="1"/>
    <n v="1"/>
    <s v="15."/>
    <n v="1"/>
    <n v="2"/>
    <x v="1"/>
  </r>
  <r>
    <s v="Sun Feb 26, 2023"/>
    <x v="3"/>
    <x v="5"/>
    <x v="1"/>
    <s v="20:45:00"/>
    <x v="0"/>
    <x v="18"/>
    <s v="3-4-2-1"/>
    <s v="2:0"/>
    <n v="13"/>
    <n v="3"/>
    <n v="3"/>
    <n v="13"/>
    <n v="0"/>
    <n v="2"/>
    <n v="2"/>
    <n v="0"/>
    <n v="48"/>
    <n v="52"/>
    <n v="52"/>
    <n v="48"/>
    <n v="4"/>
    <n v="3"/>
    <n v="11"/>
    <n v="11"/>
    <n v="3"/>
    <n v="4"/>
    <n v="11"/>
    <n v="11"/>
    <n v="1"/>
    <n v="1"/>
    <s v="Maurizio Mariani"/>
    <n v="1"/>
    <n v="0"/>
    <n v="1"/>
    <n v="0"/>
    <n v="1"/>
    <n v="0"/>
    <n v="1"/>
    <n v="0"/>
    <s v="4."/>
    <n v="0"/>
    <n v="2"/>
    <x v="1"/>
  </r>
  <r>
    <s v="Sat Mar 4, 2023"/>
    <x v="3"/>
    <x v="6"/>
    <x v="2"/>
    <s v="18:00:00"/>
    <x v="1"/>
    <x v="9"/>
    <s v="3-4-2-1"/>
    <s v="0:0"/>
    <n v="17"/>
    <n v="5"/>
    <n v="17"/>
    <n v="5"/>
    <n v="1"/>
    <n v="5"/>
    <n v="1"/>
    <n v="5"/>
    <n v="67"/>
    <n v="33"/>
    <n v="67"/>
    <n v="33"/>
    <n v="12"/>
    <n v="3"/>
    <n v="12"/>
    <n v="12"/>
    <n v="12"/>
    <n v="3"/>
    <n v="12"/>
    <n v="12"/>
    <n v="3"/>
    <n v="2"/>
    <s v="Davide Ghersini"/>
    <n v="0"/>
    <n v="0"/>
    <n v="0"/>
    <n v="0"/>
    <n v="0"/>
    <n v="0"/>
    <n v="0"/>
    <n v="0"/>
    <s v="10."/>
    <n v="0"/>
    <n v="0"/>
    <x v="2"/>
  </r>
  <r>
    <s v="Sat Mar 11, 2023"/>
    <x v="3"/>
    <x v="6"/>
    <x v="2"/>
    <s v="18:00:00"/>
    <x v="0"/>
    <x v="3"/>
    <s v="3-4-1-2"/>
    <s v="2: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2"/>
    <n v="0"/>
    <n v="2"/>
    <n v="0"/>
    <n v="0"/>
    <n v="0"/>
    <n v="0"/>
    <n v="0"/>
    <s v="1."/>
    <n v="0"/>
    <n v="2"/>
    <x v="1"/>
  </r>
  <r>
    <s v="Fri Mar 17, 2023"/>
    <x v="3"/>
    <x v="6"/>
    <x v="2"/>
    <s v="20:45:00"/>
    <x v="1"/>
    <x v="20"/>
    <s v="3-4-1-2"/>
    <s v="2:1"/>
    <n v="27"/>
    <n v="5"/>
    <n v="27"/>
    <n v="5"/>
    <n v="1"/>
    <n v="3"/>
    <n v="1"/>
    <n v="3"/>
    <n v="69"/>
    <n v="31"/>
    <n v="69"/>
    <n v="31"/>
    <n v="13"/>
    <n v="2"/>
    <n v="11"/>
    <n v="10"/>
    <n v="13"/>
    <n v="2"/>
    <n v="11"/>
    <n v="10"/>
    <n v="2"/>
    <n v="1"/>
    <s v="Federico Dionisi"/>
    <n v="0"/>
    <n v="0"/>
    <n v="0"/>
    <n v="0"/>
    <n v="2"/>
    <n v="2"/>
    <n v="1"/>
    <n v="1"/>
    <s v="14."/>
    <n v="2"/>
    <n v="1"/>
    <x v="0"/>
  </r>
  <r>
    <s v="Sat Apr 1, 2023"/>
    <x v="3"/>
    <x v="7"/>
    <x v="2"/>
    <s v="15:00:00"/>
    <x v="0"/>
    <x v="23"/>
    <s v="3-4-1-2"/>
    <s v="1:3"/>
    <n v="15"/>
    <n v="12"/>
    <n v="12"/>
    <n v="15"/>
    <n v="1"/>
    <n v="3"/>
    <n v="3"/>
    <n v="1"/>
    <n v="42"/>
    <n v="58"/>
    <n v="58"/>
    <n v="42"/>
    <n v="0"/>
    <n v="6"/>
    <n v="13"/>
    <n v="10"/>
    <n v="6"/>
    <n v="0"/>
    <n v="10"/>
    <n v="13"/>
    <n v="0"/>
    <n v="3"/>
    <s v="Livio Marinelli"/>
    <n v="0"/>
    <n v="0"/>
    <n v="0"/>
    <n v="0"/>
    <n v="1"/>
    <n v="3"/>
    <n v="1"/>
    <n v="3"/>
    <s v="20."/>
    <n v="3"/>
    <n v="1"/>
    <x v="0"/>
  </r>
  <r>
    <s v="Sat Apr 8, 2023"/>
    <x v="3"/>
    <x v="7"/>
    <x v="2"/>
    <s v="16:30:00"/>
    <x v="1"/>
    <x v="13"/>
    <s v="3-4-1-2"/>
    <s v="0:2"/>
    <n v="15"/>
    <n v="13"/>
    <n v="15"/>
    <n v="13"/>
    <n v="4"/>
    <n v="6"/>
    <n v="4"/>
    <n v="6"/>
    <n v="49"/>
    <n v="51"/>
    <n v="49"/>
    <n v="51"/>
    <n v="6"/>
    <n v="0"/>
    <n v="6"/>
    <n v="5"/>
    <n v="6"/>
    <n v="0"/>
    <n v="6"/>
    <n v="5"/>
    <n v="1"/>
    <n v="6"/>
    <s v="Daniele Orsato"/>
    <n v="0"/>
    <n v="0"/>
    <n v="0"/>
    <n v="0"/>
    <n v="0"/>
    <n v="0"/>
    <n v="2"/>
    <n v="2"/>
    <s v="8."/>
    <n v="0"/>
    <n v="2"/>
    <x v="1"/>
  </r>
  <r>
    <s v="Mon Apr 17, 2023"/>
    <x v="3"/>
    <x v="7"/>
    <x v="2"/>
    <s v="20:45:00"/>
    <x v="0"/>
    <x v="10"/>
    <s v="3-4-1-2"/>
    <s v="1:1"/>
    <n v="18"/>
    <n v="6"/>
    <n v="6"/>
    <n v="18"/>
    <n v="0"/>
    <n v="6"/>
    <n v="6"/>
    <n v="0"/>
    <n v="63"/>
    <n v="37"/>
    <n v="37"/>
    <n v="63"/>
    <n v="5"/>
    <n v="1"/>
    <n v="8"/>
    <n v="20"/>
    <n v="1"/>
    <n v="5"/>
    <n v="20"/>
    <n v="8"/>
    <n v="0"/>
    <n v="1"/>
    <s v="Marco Guida"/>
    <n v="0"/>
    <n v="1"/>
    <n v="0"/>
    <n v="1"/>
    <n v="1"/>
    <n v="0"/>
    <n v="1"/>
    <n v="0"/>
    <s v="9."/>
    <n v="1"/>
    <n v="1"/>
    <x v="2"/>
  </r>
  <r>
    <s v="Mon Apr 24, 2023"/>
    <x v="3"/>
    <x v="7"/>
    <x v="2"/>
    <s v="20:45:00"/>
    <x v="1"/>
    <x v="12"/>
    <s v="3-4-2-1"/>
    <s v="3:1"/>
    <n v="7"/>
    <n v="14"/>
    <n v="7"/>
    <n v="14"/>
    <n v="0"/>
    <n v="1"/>
    <n v="0"/>
    <n v="1"/>
    <n v="37"/>
    <n v="63"/>
    <n v="37"/>
    <n v="63"/>
    <n v="3"/>
    <n v="4"/>
    <n v="15"/>
    <n v="11"/>
    <n v="3"/>
    <n v="4"/>
    <n v="15"/>
    <n v="11"/>
    <n v="1"/>
    <n v="1"/>
    <s v="Massimiliano Irrati"/>
    <n v="1"/>
    <n v="1"/>
    <n v="0"/>
    <n v="0"/>
    <n v="2"/>
    <n v="2"/>
    <n v="1"/>
    <n v="1"/>
    <s v="3."/>
    <n v="3"/>
    <n v="1"/>
    <x v="0"/>
  </r>
  <r>
    <s v="Sat Apr 29, 2023"/>
    <x v="3"/>
    <x v="7"/>
    <x v="2"/>
    <s v="20:45:00"/>
    <x v="0"/>
    <x v="1"/>
    <s v="3-4-2-1"/>
    <s v="1:2"/>
    <n v="4"/>
    <n v="9"/>
    <n v="9"/>
    <n v="4"/>
    <n v="3"/>
    <n v="3"/>
    <n v="3"/>
    <n v="3"/>
    <n v="62"/>
    <n v="38"/>
    <n v="38"/>
    <n v="62"/>
    <n v="3"/>
    <n v="3"/>
    <n v="6"/>
    <n v="10"/>
    <n v="3"/>
    <n v="3"/>
    <n v="10"/>
    <n v="6"/>
    <n v="2"/>
    <n v="2"/>
    <s v="Juan Luca Sacchi"/>
    <n v="0"/>
    <n v="1"/>
    <n v="0"/>
    <n v="1"/>
    <n v="1"/>
    <n v="1"/>
    <n v="1"/>
    <n v="1"/>
    <s v="9."/>
    <n v="2"/>
    <n v="1"/>
    <x v="0"/>
  </r>
  <r>
    <s v="Wed May 3, 2023"/>
    <x v="3"/>
    <x v="8"/>
    <x v="2"/>
    <s v="18:00:00"/>
    <x v="1"/>
    <x v="7"/>
    <s v="3-4-1-2"/>
    <s v="3:2"/>
    <n v="14"/>
    <n v="9"/>
    <n v="14"/>
    <n v="9"/>
    <n v="2"/>
    <n v="3"/>
    <n v="2"/>
    <n v="3"/>
    <n v="56"/>
    <n v="44"/>
    <n v="56"/>
    <n v="44"/>
    <n v="12"/>
    <n v="3"/>
    <n v="8"/>
    <n v="10"/>
    <n v="12"/>
    <n v="3"/>
    <n v="8"/>
    <n v="10"/>
    <n v="3"/>
    <n v="0"/>
    <s v="Livio Marinelli"/>
    <n v="1"/>
    <n v="1"/>
    <n v="1"/>
    <n v="1"/>
    <n v="2"/>
    <n v="2"/>
    <n v="1"/>
    <n v="1"/>
    <s v="17."/>
    <n v="3"/>
    <n v="2"/>
    <x v="0"/>
  </r>
  <r>
    <s v="Sun May 7, 2023"/>
    <x v="3"/>
    <x v="8"/>
    <x v="2"/>
    <s v="12:30:00"/>
    <x v="1"/>
    <x v="11"/>
    <s v="3-4-2-1"/>
    <s v="0:2"/>
    <n v="24"/>
    <n v="10"/>
    <n v="24"/>
    <n v="10"/>
    <n v="3"/>
    <n v="1"/>
    <n v="3"/>
    <n v="1"/>
    <n v="59"/>
    <n v="41"/>
    <n v="59"/>
    <n v="41"/>
    <n v="7"/>
    <n v="3"/>
    <n v="13"/>
    <n v="16"/>
    <n v="7"/>
    <n v="3"/>
    <n v="13"/>
    <n v="16"/>
    <n v="0"/>
    <n v="2"/>
    <s v="Daniele Doveri"/>
    <n v="0"/>
    <n v="0"/>
    <n v="0"/>
    <n v="0"/>
    <n v="0"/>
    <n v="0"/>
    <n v="2"/>
    <n v="2"/>
    <s v="7."/>
    <n v="0"/>
    <n v="2"/>
    <x v="1"/>
  </r>
  <r>
    <s v="Sat May 13, 2023"/>
    <x v="3"/>
    <x v="8"/>
    <x v="2"/>
    <s v="15:00:00"/>
    <x v="0"/>
    <x v="19"/>
    <s v="3-4-2-1"/>
    <s v="1:0"/>
    <n v="10"/>
    <n v="13"/>
    <n v="13"/>
    <n v="10"/>
    <n v="3"/>
    <n v="3"/>
    <n v="3"/>
    <n v="3"/>
    <n v="52"/>
    <n v="48"/>
    <n v="48"/>
    <n v="52"/>
    <n v="5"/>
    <n v="3"/>
    <n v="9"/>
    <n v="18"/>
    <n v="3"/>
    <n v="5"/>
    <n v="18"/>
    <n v="9"/>
    <n v="1"/>
    <n v="2"/>
    <s v="Marco Piccinini"/>
    <n v="0"/>
    <n v="0"/>
    <n v="0"/>
    <n v="0"/>
    <n v="1"/>
    <n v="0"/>
    <n v="1"/>
    <n v="0"/>
    <s v="15."/>
    <n v="0"/>
    <n v="1"/>
    <x v="1"/>
  </r>
  <r>
    <s v="Sat May 20, 2023"/>
    <x v="3"/>
    <x v="8"/>
    <x v="2"/>
    <s v="18:00:00"/>
    <x v="1"/>
    <x v="8"/>
    <s v="3-4-2-1"/>
    <s v="3:1"/>
    <n v="13"/>
    <n v="10"/>
    <n v="13"/>
    <n v="10"/>
    <n v="1"/>
    <n v="2"/>
    <n v="1"/>
    <n v="2"/>
    <n v="59"/>
    <n v="41"/>
    <n v="59"/>
    <n v="41"/>
    <n v="6"/>
    <n v="3"/>
    <n v="9"/>
    <n v="11"/>
    <n v="6"/>
    <n v="3"/>
    <n v="9"/>
    <n v="11"/>
    <n v="4"/>
    <n v="1"/>
    <s v="Simone Sozza"/>
    <n v="1"/>
    <n v="1"/>
    <n v="1"/>
    <n v="1"/>
    <n v="2"/>
    <n v="2"/>
    <n v="1"/>
    <n v="1"/>
    <s v="18."/>
    <n v="3"/>
    <n v="2"/>
    <x v="0"/>
  </r>
  <r>
    <s v="Sat May 27, 2023"/>
    <x v="3"/>
    <x v="8"/>
    <x v="2"/>
    <s v="20:45:00"/>
    <x v="0"/>
    <x v="6"/>
    <s v="3-4-2-1"/>
    <s v="3:2"/>
    <n v="20"/>
    <n v="11"/>
    <n v="11"/>
    <n v="20"/>
    <n v="2"/>
    <n v="8"/>
    <n v="8"/>
    <n v="2"/>
    <n v="52"/>
    <n v="48"/>
    <n v="48"/>
    <n v="52"/>
    <n v="9"/>
    <n v="7"/>
    <n v="8"/>
    <n v="18"/>
    <n v="7"/>
    <n v="9"/>
    <n v="18"/>
    <n v="8"/>
    <n v="1"/>
    <n v="1"/>
    <s v="Daniele Orsato"/>
    <n v="2"/>
    <n v="1"/>
    <n v="2"/>
    <n v="1"/>
    <n v="1"/>
    <n v="1"/>
    <n v="1"/>
    <n v="1"/>
    <s v="3."/>
    <n v="2"/>
    <n v="3"/>
    <x v="1"/>
  </r>
  <r>
    <s v="Sun Jun 4, 2023"/>
    <x v="3"/>
    <x v="10"/>
    <x v="3"/>
    <s v="21:00:00"/>
    <x v="1"/>
    <x v="22"/>
    <s v="3-4-2-1"/>
    <s v="5:2"/>
    <n v="20"/>
    <n v="8"/>
    <n v="20"/>
    <n v="8"/>
    <n v="2"/>
    <n v="5"/>
    <n v="2"/>
    <n v="5"/>
    <n v="39"/>
    <n v="61"/>
    <n v="39"/>
    <n v="61"/>
    <n v="5"/>
    <n v="1"/>
    <n v="13"/>
    <n v="8"/>
    <n v="5"/>
    <n v="1"/>
    <n v="13"/>
    <n v="8"/>
    <n v="2"/>
    <n v="3"/>
    <s v="Marco Di Bello"/>
    <n v="1"/>
    <n v="1"/>
    <n v="0"/>
    <n v="0"/>
    <n v="4"/>
    <n v="4"/>
    <n v="2"/>
    <n v="2"/>
    <s v="10."/>
    <n v="5"/>
    <n v="2"/>
    <x v="0"/>
  </r>
  <r>
    <s v="Sun Aug 20, 2023"/>
    <x v="3"/>
    <x v="9"/>
    <x v="3"/>
    <s v="18:30:00"/>
    <x v="0"/>
    <x v="14"/>
    <s v="3-4-2-1"/>
    <s v="0:2"/>
    <n v="11"/>
    <n v="16"/>
    <n v="16"/>
    <n v="11"/>
    <n v="2"/>
    <n v="3"/>
    <n v="3"/>
    <n v="2"/>
    <n v="49"/>
    <n v="51"/>
    <n v="51"/>
    <n v="49"/>
    <n v="7"/>
    <n v="7"/>
    <n v="9"/>
    <n v="13"/>
    <n v="7"/>
    <n v="7"/>
    <n v="13"/>
    <n v="9"/>
    <n v="0"/>
    <n v="2"/>
    <s v="Matteo Marchetti"/>
    <n v="0"/>
    <n v="0"/>
    <n v="0"/>
    <n v="0"/>
    <n v="0"/>
    <n v="2"/>
    <n v="0"/>
    <n v="2"/>
    <s v="19."/>
    <n v="2"/>
    <n v="0"/>
    <x v="0"/>
  </r>
  <r>
    <s v="Sat Aug 26, 2023"/>
    <x v="3"/>
    <x v="9"/>
    <x v="3"/>
    <s v="18:30:00"/>
    <x v="0"/>
    <x v="25"/>
    <s v="3-4-1-2"/>
    <s v="2:1"/>
    <n v="13"/>
    <n v="18"/>
    <n v="18"/>
    <n v="13"/>
    <n v="5"/>
    <n v="3"/>
    <n v="3"/>
    <n v="5"/>
    <n v="37"/>
    <n v="63"/>
    <n v="63"/>
    <n v="37"/>
    <n v="3"/>
    <n v="7"/>
    <n v="10"/>
    <n v="10"/>
    <n v="7"/>
    <n v="3"/>
    <n v="10"/>
    <n v="10"/>
    <n v="1"/>
    <n v="1"/>
    <s v="Juan Luca Sacchi"/>
    <n v="2"/>
    <n v="0"/>
    <n v="2"/>
    <n v="0"/>
    <n v="0"/>
    <n v="1"/>
    <n v="0"/>
    <n v="1"/>
    <s v="15."/>
    <n v="1"/>
    <n v="2"/>
    <x v="1"/>
  </r>
  <r>
    <s v="Sat Sep 2, 2023"/>
    <x v="3"/>
    <x v="0"/>
    <x v="0"/>
    <s v="20:45:00"/>
    <x v="1"/>
    <x v="22"/>
    <s v="3-4-2-1"/>
    <s v="3:0"/>
    <n v="18"/>
    <n v="8"/>
    <n v="18"/>
    <n v="8"/>
    <n v="2"/>
    <n v="5"/>
    <n v="2"/>
    <n v="5"/>
    <n v="41"/>
    <n v="59"/>
    <n v="41"/>
    <n v="59"/>
    <n v="7"/>
    <n v="3"/>
    <n v="11"/>
    <n v="9"/>
    <n v="7"/>
    <n v="3"/>
    <n v="11"/>
    <n v="9"/>
    <n v="4"/>
    <n v="1"/>
    <s v="matteo Marcenaro"/>
    <n v="2"/>
    <n v="2"/>
    <n v="0"/>
    <n v="0"/>
    <n v="1"/>
    <n v="1"/>
    <n v="0"/>
    <n v="0"/>
    <s v="9."/>
    <n v="3"/>
    <n v="0"/>
    <x v="0"/>
  </r>
  <r>
    <s v="Sun Sep 17, 2023"/>
    <x v="3"/>
    <x v="0"/>
    <x v="0"/>
    <s v="18:00:00"/>
    <x v="0"/>
    <x v="10"/>
    <s v="3-4-1-2"/>
    <s v="3:2"/>
    <n v="15"/>
    <n v="11"/>
    <n v="11"/>
    <n v="15"/>
    <n v="2"/>
    <n v="5"/>
    <n v="5"/>
    <n v="2"/>
    <n v="57"/>
    <n v="43"/>
    <n v="43"/>
    <n v="57"/>
    <n v="3"/>
    <n v="4"/>
    <n v="8"/>
    <n v="14"/>
    <n v="4"/>
    <n v="3"/>
    <n v="14"/>
    <n v="8"/>
    <n v="0"/>
    <n v="2"/>
    <s v="Luca Pairetto"/>
    <n v="1"/>
    <n v="1"/>
    <n v="1"/>
    <n v="1"/>
    <n v="2"/>
    <n v="1"/>
    <n v="2"/>
    <n v="1"/>
    <s v="8."/>
    <n v="2"/>
    <n v="3"/>
    <x v="1"/>
  </r>
  <r>
    <s v="Sun Sep 24, 2023"/>
    <x v="3"/>
    <x v="0"/>
    <x v="0"/>
    <s v="15:00:00"/>
    <x v="1"/>
    <x v="2"/>
    <s v="3-4-2-1"/>
    <s v="2:0"/>
    <n v="10"/>
    <n v="10"/>
    <n v="10"/>
    <n v="10"/>
    <n v="0"/>
    <n v="4"/>
    <n v="0"/>
    <n v="4"/>
    <n v="57"/>
    <n v="43"/>
    <n v="57"/>
    <n v="43"/>
    <n v="7"/>
    <n v="7"/>
    <n v="6"/>
    <n v="11"/>
    <n v="7"/>
    <n v="7"/>
    <n v="6"/>
    <n v="11"/>
    <n v="5"/>
    <n v="1"/>
    <s v="Ermanno feliciani"/>
    <n v="1"/>
    <n v="1"/>
    <n v="0"/>
    <n v="0"/>
    <n v="1"/>
    <n v="1"/>
    <n v="0"/>
    <n v="0"/>
    <s v="18."/>
    <n v="2"/>
    <n v="0"/>
    <x v="0"/>
  </r>
  <r>
    <s v="Wed Sep 27, 2023"/>
    <x v="3"/>
    <x v="0"/>
    <x v="0"/>
    <s v="18:30:00"/>
    <x v="0"/>
    <x v="8"/>
    <s v="3-4-2-1"/>
    <s v="0:1"/>
    <n v="11"/>
    <n v="8"/>
    <n v="8"/>
    <n v="11"/>
    <n v="1"/>
    <n v="2"/>
    <n v="2"/>
    <n v="1"/>
    <n v="51"/>
    <n v="49"/>
    <n v="49"/>
    <n v="51"/>
    <n v="4"/>
    <n v="1"/>
    <n v="10"/>
    <n v="25"/>
    <n v="1"/>
    <n v="4"/>
    <n v="25"/>
    <n v="10"/>
    <n v="1"/>
    <n v="3"/>
    <s v="federico Dionisi"/>
    <n v="0"/>
    <n v="1"/>
    <n v="0"/>
    <n v="1"/>
    <n v="0"/>
    <n v="0"/>
    <n v="0"/>
    <n v="0"/>
    <s v="10."/>
    <n v="1"/>
    <n v="0"/>
    <x v="0"/>
  </r>
  <r>
    <s v="Sun Oct 1, 2023"/>
    <x v="3"/>
    <x v="1"/>
    <x v="0"/>
    <s v="20:45:00"/>
    <x v="1"/>
    <x v="11"/>
    <s v="3-4-2-1"/>
    <s v="0:0"/>
    <n v="15"/>
    <n v="5"/>
    <n v="15"/>
    <n v="5"/>
    <n v="3"/>
    <n v="2"/>
    <n v="3"/>
    <n v="2"/>
    <n v="52"/>
    <n v="48"/>
    <n v="52"/>
    <n v="48"/>
    <n v="5"/>
    <n v="2"/>
    <n v="13"/>
    <n v="7"/>
    <n v="5"/>
    <n v="2"/>
    <n v="13"/>
    <n v="7"/>
    <n v="0"/>
    <n v="1"/>
    <s v="Daniele Chiffi"/>
    <n v="0"/>
    <n v="0"/>
    <n v="0"/>
    <n v="0"/>
    <n v="0"/>
    <n v="0"/>
    <n v="0"/>
    <n v="0"/>
    <s v="3."/>
    <n v="0"/>
    <n v="0"/>
    <x v="2"/>
  </r>
  <r>
    <s v="Sun Oct 8, 2023"/>
    <x v="3"/>
    <x v="1"/>
    <x v="0"/>
    <s v="15:00:00"/>
    <x v="0"/>
    <x v="0"/>
    <s v="3-4-1-2"/>
    <s v="3:2"/>
    <n v="12"/>
    <n v="12"/>
    <n v="12"/>
    <n v="12"/>
    <n v="2"/>
    <n v="2"/>
    <n v="2"/>
    <n v="2"/>
    <n v="46"/>
    <n v="54"/>
    <n v="54"/>
    <n v="46"/>
    <n v="4"/>
    <n v="6"/>
    <n v="7"/>
    <n v="10"/>
    <n v="6"/>
    <n v="4"/>
    <n v="10"/>
    <n v="7"/>
    <n v="3"/>
    <n v="2"/>
    <s v="Daniele Orsato"/>
    <n v="2"/>
    <n v="1"/>
    <n v="2"/>
    <n v="1"/>
    <n v="1"/>
    <n v="1"/>
    <n v="1"/>
    <n v="1"/>
    <s v="16."/>
    <n v="2"/>
    <n v="3"/>
    <x v="1"/>
  </r>
  <r>
    <s v="Sun Oct 22, 2023"/>
    <x v="3"/>
    <x v="1"/>
    <x v="0"/>
    <s v="18:00:00"/>
    <x v="1"/>
    <x v="17"/>
    <s v="3-4-2-1"/>
    <s v="2:0"/>
    <n v="13"/>
    <n v="15"/>
    <n v="13"/>
    <n v="15"/>
    <n v="4"/>
    <n v="6"/>
    <n v="4"/>
    <n v="6"/>
    <n v="57"/>
    <n v="43"/>
    <n v="57"/>
    <n v="43"/>
    <n v="8"/>
    <n v="4"/>
    <n v="17"/>
    <n v="9"/>
    <n v="8"/>
    <n v="4"/>
    <n v="17"/>
    <n v="9"/>
    <n v="1"/>
    <n v="1"/>
    <s v="Livio Marinelli"/>
    <n v="0"/>
    <n v="0"/>
    <n v="0"/>
    <n v="0"/>
    <n v="2"/>
    <n v="2"/>
    <n v="0"/>
    <n v="0"/>
    <s v="15."/>
    <n v="2"/>
    <n v="0"/>
    <x v="0"/>
  </r>
  <r>
    <s v="Mon Oct 30, 2023"/>
    <x v="3"/>
    <x v="1"/>
    <x v="0"/>
    <s v="18:30:00"/>
    <x v="0"/>
    <x v="20"/>
    <s v="3-4-1-2"/>
    <s v="0:3"/>
    <n v="9"/>
    <n v="18"/>
    <n v="18"/>
    <n v="9"/>
    <n v="3"/>
    <n v="2"/>
    <n v="2"/>
    <n v="3"/>
    <n v="43"/>
    <n v="57"/>
    <n v="57"/>
    <n v="43"/>
    <n v="3"/>
    <n v="6"/>
    <n v="10"/>
    <n v="13"/>
    <n v="6"/>
    <n v="3"/>
    <n v="13"/>
    <n v="10"/>
    <n v="3"/>
    <n v="1"/>
    <s v="Luca Massimi"/>
    <n v="0"/>
    <n v="2"/>
    <n v="0"/>
    <n v="2"/>
    <n v="0"/>
    <n v="1"/>
    <n v="0"/>
    <n v="1"/>
    <s v="17."/>
    <n v="3"/>
    <n v="0"/>
    <x v="0"/>
  </r>
  <r>
    <s v="Sat Nov 4, 2023"/>
    <x v="3"/>
    <x v="2"/>
    <x v="0"/>
    <s v="18:00:00"/>
    <x v="1"/>
    <x v="6"/>
    <s v="3-4-2-1"/>
    <s v="1:2"/>
    <n v="14"/>
    <n v="10"/>
    <n v="14"/>
    <n v="10"/>
    <n v="2"/>
    <n v="3"/>
    <n v="2"/>
    <n v="3"/>
    <n v="54"/>
    <n v="46"/>
    <n v="54"/>
    <n v="46"/>
    <n v="6"/>
    <n v="1"/>
    <n v="13"/>
    <n v="9"/>
    <n v="6"/>
    <n v="1"/>
    <n v="13"/>
    <n v="9"/>
    <n v="2"/>
    <n v="2"/>
    <s v="Simone Sozza"/>
    <n v="0"/>
    <n v="0"/>
    <n v="1"/>
    <n v="1"/>
    <n v="1"/>
    <n v="1"/>
    <n v="1"/>
    <n v="1"/>
    <s v="1."/>
    <n v="1"/>
    <n v="2"/>
    <x v="1"/>
  </r>
  <r>
    <s v="Sun Nov 12, 2023"/>
    <x v="3"/>
    <x v="2"/>
    <x v="0"/>
    <s v="15:00:00"/>
    <x v="0"/>
    <x v="9"/>
    <s v="3-4-2-1"/>
    <s v="1:1"/>
    <n v="13"/>
    <n v="8"/>
    <n v="8"/>
    <n v="13"/>
    <n v="1"/>
    <n v="3"/>
    <n v="3"/>
    <n v="1"/>
    <n v="34"/>
    <n v="66"/>
    <n v="66"/>
    <n v="34"/>
    <n v="7"/>
    <n v="7"/>
    <n v="13"/>
    <n v="13"/>
    <n v="7"/>
    <n v="7"/>
    <n v="13"/>
    <n v="13"/>
    <n v="2"/>
    <n v="2"/>
    <s v="Gianluca Aureliano"/>
    <n v="1"/>
    <n v="0"/>
    <n v="1"/>
    <n v="0"/>
    <n v="0"/>
    <n v="1"/>
    <n v="0"/>
    <n v="1"/>
    <s v="16."/>
    <n v="1"/>
    <n v="1"/>
    <x v="2"/>
  </r>
  <r>
    <s v="Sat Nov 25, 2023"/>
    <x v="3"/>
    <x v="2"/>
    <x v="0"/>
    <s v="18:00:00"/>
    <x v="1"/>
    <x v="3"/>
    <s v="3-4-1-2"/>
    <s v="1: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0"/>
    <n v="0"/>
    <n v="0"/>
    <n v="0"/>
    <n v="1"/>
    <n v="1"/>
    <n v="2"/>
    <n v="2"/>
    <s v="4."/>
    <n v="1"/>
    <n v="2"/>
    <x v="1"/>
  </r>
  <r>
    <s v="Mon Dec 4, 2023"/>
    <x v="3"/>
    <x v="4"/>
    <x v="1"/>
    <s v="20:45:00"/>
    <x v="0"/>
    <x v="1"/>
    <s v="3-4-2-1"/>
    <s v="3:0"/>
    <n v="9"/>
    <n v="10"/>
    <n v="10"/>
    <n v="9"/>
    <n v="4"/>
    <n v="2"/>
    <n v="2"/>
    <n v="4"/>
    <n v="54"/>
    <n v="46"/>
    <n v="46"/>
    <n v="54"/>
    <n v="4"/>
    <n v="3"/>
    <n v="12"/>
    <n v="14"/>
    <n v="3"/>
    <n v="4"/>
    <n v="14"/>
    <n v="12"/>
    <n v="2"/>
    <n v="1"/>
    <s v="Marco Piccinini"/>
    <n v="1"/>
    <n v="0"/>
    <n v="1"/>
    <n v="0"/>
    <n v="2"/>
    <n v="0"/>
    <n v="2"/>
    <n v="0"/>
    <s v="12."/>
    <n v="0"/>
    <n v="3"/>
    <x v="1"/>
  </r>
  <r>
    <s v="Sat Dec 9, 2023"/>
    <x v="3"/>
    <x v="4"/>
    <x v="1"/>
    <s v="18:00:00"/>
    <x v="1"/>
    <x v="18"/>
    <s v="3-4-1-2"/>
    <s v="3:2"/>
    <n v="19"/>
    <n v="14"/>
    <n v="19"/>
    <n v="14"/>
    <n v="1"/>
    <n v="4"/>
    <n v="1"/>
    <n v="4"/>
    <n v="42"/>
    <n v="58"/>
    <n v="42"/>
    <n v="58"/>
    <n v="6"/>
    <n v="4"/>
    <n v="11"/>
    <n v="11"/>
    <n v="6"/>
    <n v="4"/>
    <n v="11"/>
    <n v="11"/>
    <n v="1"/>
    <n v="1"/>
    <s v="federico La Penna"/>
    <n v="1"/>
    <n v="1"/>
    <n v="0"/>
    <n v="0"/>
    <n v="2"/>
    <n v="2"/>
    <n v="2"/>
    <n v="2"/>
    <s v="3."/>
    <n v="3"/>
    <n v="2"/>
    <x v="0"/>
  </r>
  <r>
    <s v="Mon Dec 18, 2023"/>
    <x v="3"/>
    <x v="4"/>
    <x v="1"/>
    <s v="20:45:00"/>
    <x v="1"/>
    <x v="19"/>
    <s v="3-4-1-2"/>
    <s v="4:1"/>
    <n v="20"/>
    <n v="10"/>
    <n v="20"/>
    <n v="10"/>
    <n v="2"/>
    <n v="7"/>
    <n v="2"/>
    <n v="7"/>
    <n v="51"/>
    <n v="49"/>
    <n v="51"/>
    <n v="49"/>
    <n v="10"/>
    <n v="7"/>
    <n v="9"/>
    <n v="11"/>
    <n v="10"/>
    <n v="7"/>
    <n v="9"/>
    <n v="11"/>
    <n v="1"/>
    <n v="3"/>
    <s v="Ermanno feliciani"/>
    <n v="0"/>
    <n v="0"/>
    <n v="1"/>
    <n v="1"/>
    <n v="4"/>
    <n v="4"/>
    <n v="0"/>
    <n v="0"/>
    <s v="20."/>
    <n v="4"/>
    <n v="1"/>
    <x v="0"/>
  </r>
  <r>
    <s v="Sat Dec 23, 2023"/>
    <x v="3"/>
    <x v="4"/>
    <x v="1"/>
    <s v="15:00:00"/>
    <x v="0"/>
    <x v="13"/>
    <s v="3-4-1-2"/>
    <s v="1:0"/>
    <n v="9"/>
    <n v="12"/>
    <n v="12"/>
    <n v="9"/>
    <n v="2"/>
    <n v="0"/>
    <n v="0"/>
    <n v="2"/>
    <n v="60"/>
    <n v="40"/>
    <n v="40"/>
    <n v="60"/>
    <n v="3"/>
    <n v="5"/>
    <n v="10"/>
    <n v="14"/>
    <n v="5"/>
    <n v="3"/>
    <n v="14"/>
    <n v="10"/>
    <n v="0"/>
    <n v="1"/>
    <s v="Antonio Rapuano"/>
    <n v="0"/>
    <n v="0"/>
    <n v="0"/>
    <n v="0"/>
    <n v="1"/>
    <n v="0"/>
    <n v="1"/>
    <n v="0"/>
    <s v="4."/>
    <n v="0"/>
    <n v="1"/>
    <x v="1"/>
  </r>
  <r>
    <s v="Sat Dec 30, 2023"/>
    <x v="3"/>
    <x v="4"/>
    <x v="1"/>
    <s v="12:30:00"/>
    <x v="1"/>
    <x v="24"/>
    <s v="3-4-1-2"/>
    <s v="1:0"/>
    <n v="17"/>
    <n v="15"/>
    <n v="17"/>
    <n v="15"/>
    <n v="2"/>
    <n v="2"/>
    <n v="2"/>
    <n v="2"/>
    <n v="62"/>
    <n v="38"/>
    <n v="62"/>
    <n v="38"/>
    <n v="5"/>
    <n v="6"/>
    <n v="10"/>
    <n v="16"/>
    <n v="5"/>
    <n v="6"/>
    <n v="10"/>
    <n v="16"/>
    <n v="2"/>
    <n v="3"/>
    <s v="Gianluca Manganiello"/>
    <n v="0"/>
    <n v="0"/>
    <n v="0"/>
    <n v="0"/>
    <n v="1"/>
    <n v="1"/>
    <n v="0"/>
    <n v="0"/>
    <s v="12."/>
    <n v="1"/>
    <n v="0"/>
    <x v="0"/>
  </r>
  <r>
    <s v="Sun Jan 7, 2024"/>
    <x v="4"/>
    <x v="3"/>
    <x v="1"/>
    <s v="20:45:00"/>
    <x v="0"/>
    <x v="12"/>
    <s v="3-4-2-1"/>
    <s v="1:1"/>
    <n v="16"/>
    <n v="8"/>
    <n v="8"/>
    <n v="16"/>
    <n v="1"/>
    <n v="7"/>
    <n v="7"/>
    <n v="1"/>
    <n v="55"/>
    <n v="45"/>
    <n v="45"/>
    <n v="55"/>
    <n v="6"/>
    <n v="5"/>
    <n v="14"/>
    <n v="14"/>
    <n v="5"/>
    <n v="6"/>
    <n v="14"/>
    <n v="14"/>
    <n v="2"/>
    <n v="1"/>
    <s v="Gianluca Aureliano"/>
    <n v="1"/>
    <n v="1"/>
    <n v="1"/>
    <n v="1"/>
    <n v="0"/>
    <n v="0"/>
    <n v="0"/>
    <n v="0"/>
    <s v="7."/>
    <n v="1"/>
    <n v="1"/>
    <x v="2"/>
  </r>
  <r>
    <s v="Mon Jan 15, 2024"/>
    <x v="4"/>
    <x v="3"/>
    <x v="1"/>
    <s v="20:45:00"/>
    <x v="1"/>
    <x v="25"/>
    <s v="3-4-2-1"/>
    <s v="5:0"/>
    <n v="21"/>
    <n v="8"/>
    <n v="21"/>
    <n v="8"/>
    <n v="5"/>
    <n v="4"/>
    <n v="5"/>
    <n v="4"/>
    <n v="48"/>
    <n v="52"/>
    <n v="48"/>
    <n v="52"/>
    <n v="8"/>
    <n v="2"/>
    <n v="11"/>
    <n v="8"/>
    <n v="8"/>
    <n v="2"/>
    <n v="11"/>
    <n v="8"/>
    <n v="0"/>
    <n v="2"/>
    <s v="Alessandro Prontera"/>
    <n v="3"/>
    <n v="3"/>
    <n v="0"/>
    <n v="0"/>
    <n v="2"/>
    <n v="2"/>
    <n v="0"/>
    <n v="0"/>
    <s v="14."/>
    <n v="5"/>
    <n v="0"/>
    <x v="0"/>
  </r>
  <r>
    <s v="Wed Feb 28, 2024"/>
    <x v="4"/>
    <x v="5"/>
    <x v="1"/>
    <s v="20:45:00"/>
    <x v="0"/>
    <x v="6"/>
    <s v="3-4-2-1"/>
    <s v="4:0"/>
    <n v="15"/>
    <n v="6"/>
    <n v="6"/>
    <n v="15"/>
    <n v="1"/>
    <n v="3"/>
    <n v="3"/>
    <n v="1"/>
    <n v="59"/>
    <n v="41"/>
    <n v="41"/>
    <n v="59"/>
    <n v="4"/>
    <n v="1"/>
    <n v="10"/>
    <n v="15"/>
    <n v="1"/>
    <n v="4"/>
    <n v="15"/>
    <n v="10"/>
    <n v="2"/>
    <n v="2"/>
    <s v="Andrea Colombo"/>
    <n v="1"/>
    <n v="0"/>
    <n v="1"/>
    <n v="0"/>
    <n v="3"/>
    <n v="0"/>
    <n v="3"/>
    <n v="0"/>
    <s v="1."/>
    <n v="0"/>
    <n v="4"/>
    <x v="1"/>
  </r>
  <r>
    <s v="Sat Jan 27, 2024"/>
    <x v="4"/>
    <x v="3"/>
    <x v="1"/>
    <s v="15:00:00"/>
    <x v="1"/>
    <x v="9"/>
    <s v="3-4-2-1"/>
    <s v="2:0"/>
    <n v="14"/>
    <n v="13"/>
    <n v="14"/>
    <n v="13"/>
    <n v="5"/>
    <n v="9"/>
    <n v="5"/>
    <n v="9"/>
    <n v="59"/>
    <n v="41"/>
    <n v="59"/>
    <n v="41"/>
    <n v="4"/>
    <n v="4"/>
    <n v="8"/>
    <n v="11"/>
    <n v="4"/>
    <n v="4"/>
    <n v="8"/>
    <n v="11"/>
    <n v="1"/>
    <n v="3"/>
    <s v="Marco Piccinini"/>
    <n v="1"/>
    <n v="1"/>
    <n v="0"/>
    <n v="0"/>
    <n v="1"/>
    <n v="1"/>
    <n v="0"/>
    <n v="0"/>
    <s v="16."/>
    <n v="2"/>
    <n v="0"/>
    <x v="0"/>
  </r>
  <r>
    <s v="Sun Feb 4, 2024"/>
    <x v="4"/>
    <x v="5"/>
    <x v="1"/>
    <s v="18:00:00"/>
    <x v="1"/>
    <x v="0"/>
    <s v="3-4-1-2"/>
    <s v="3:1"/>
    <n v="19"/>
    <n v="7"/>
    <n v="19"/>
    <n v="7"/>
    <n v="0"/>
    <n v="2"/>
    <n v="0"/>
    <n v="2"/>
    <n v="53"/>
    <n v="47"/>
    <n v="53"/>
    <n v="47"/>
    <n v="6"/>
    <n v="1"/>
    <n v="13"/>
    <n v="14"/>
    <n v="6"/>
    <n v="1"/>
    <n v="13"/>
    <n v="14"/>
    <n v="1"/>
    <n v="1"/>
    <s v="Marco Guida"/>
    <n v="2"/>
    <n v="2"/>
    <n v="0"/>
    <n v="0"/>
    <n v="1"/>
    <n v="1"/>
    <n v="1"/>
    <n v="1"/>
    <s v="4."/>
    <n v="3"/>
    <n v="1"/>
    <x v="0"/>
  </r>
  <r>
    <s v="Sun Feb 11, 2024"/>
    <x v="4"/>
    <x v="5"/>
    <x v="1"/>
    <s v="18:00:00"/>
    <x v="0"/>
    <x v="17"/>
    <s v="3-4-2-1"/>
    <s v="1:4"/>
    <n v="15"/>
    <n v="14"/>
    <n v="14"/>
    <n v="15"/>
    <n v="5"/>
    <n v="5"/>
    <n v="5"/>
    <n v="5"/>
    <n v="55"/>
    <n v="45"/>
    <n v="45"/>
    <n v="55"/>
    <n v="7"/>
    <n v="4"/>
    <n v="8"/>
    <n v="13"/>
    <n v="4"/>
    <n v="7"/>
    <n v="13"/>
    <n v="8"/>
    <n v="0"/>
    <n v="1"/>
    <s v="Andrea Colombo"/>
    <n v="0"/>
    <n v="1"/>
    <n v="0"/>
    <n v="1"/>
    <n v="1"/>
    <n v="3"/>
    <n v="1"/>
    <n v="3"/>
    <s v="12."/>
    <n v="4"/>
    <n v="1"/>
    <x v="0"/>
  </r>
  <r>
    <s v="Sat Feb 17, 2024"/>
    <x v="4"/>
    <x v="5"/>
    <x v="1"/>
    <s v="20:45:00"/>
    <x v="1"/>
    <x v="14"/>
    <s v="3-4-1-2"/>
    <s v="3: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/A"/>
    <n v="1"/>
    <n v="1"/>
    <n v="0"/>
    <n v="0"/>
    <n v="2"/>
    <n v="2"/>
    <n v="0"/>
    <n v="0"/>
    <s v="17."/>
    <n v="3"/>
    <n v="0"/>
    <x v="0"/>
  </r>
  <r>
    <s v="Sun Feb 25, 2024"/>
    <x v="4"/>
    <x v="5"/>
    <x v="1"/>
    <s v="20:45:00"/>
    <x v="0"/>
    <x v="18"/>
    <s v="3-4-1-2"/>
    <s v="1:1"/>
    <n v="20"/>
    <n v="8"/>
    <n v="8"/>
    <n v="20"/>
    <n v="2"/>
    <n v="5"/>
    <n v="5"/>
    <n v="2"/>
    <n v="68"/>
    <n v="32"/>
    <n v="32"/>
    <n v="68"/>
    <n v="5"/>
    <n v="3"/>
    <n v="12"/>
    <n v="16"/>
    <n v="3"/>
    <n v="5"/>
    <n v="16"/>
    <n v="12"/>
    <n v="0"/>
    <n v="1"/>
    <s v="Daniele Orsato"/>
    <n v="1"/>
    <n v="1"/>
    <n v="1"/>
    <n v="1"/>
    <n v="0"/>
    <n v="0"/>
    <n v="0"/>
    <n v="0"/>
    <s v="3."/>
    <n v="1"/>
    <n v="1"/>
    <x v="2"/>
  </r>
  <r>
    <s v="Sun Mar 3, 2024"/>
    <x v="4"/>
    <x v="6"/>
    <x v="2"/>
    <s v="18:00:00"/>
    <x v="1"/>
    <x v="13"/>
    <s v="3-4-1-2"/>
    <s v="1:2"/>
    <n v="11"/>
    <n v="11"/>
    <n v="11"/>
    <n v="11"/>
    <n v="4"/>
    <n v="1"/>
    <n v="4"/>
    <n v="1"/>
    <n v="55"/>
    <n v="45"/>
    <n v="55"/>
    <n v="45"/>
    <n v="6"/>
    <n v="2"/>
    <n v="11"/>
    <n v="12"/>
    <n v="6"/>
    <n v="2"/>
    <n v="11"/>
    <n v="12"/>
    <n v="2"/>
    <n v="2"/>
    <s v="federico La Penna"/>
    <n v="1"/>
    <n v="1"/>
    <n v="0"/>
    <n v="0"/>
    <n v="0"/>
    <n v="0"/>
    <n v="2"/>
    <n v="2"/>
    <s v="4."/>
    <n v="1"/>
    <n v="2"/>
    <x v="1"/>
  </r>
  <r>
    <s v="Sun Mar 10, 2024"/>
    <x v="4"/>
    <x v="6"/>
    <x v="2"/>
    <s v="18:00:00"/>
    <x v="0"/>
    <x v="11"/>
    <s v="3-4-2-1"/>
    <s v="2:2"/>
    <n v="18"/>
    <n v="7"/>
    <n v="7"/>
    <n v="18"/>
    <n v="1"/>
    <n v="3"/>
    <n v="3"/>
    <n v="1"/>
    <n v="51"/>
    <n v="49"/>
    <n v="49"/>
    <n v="51"/>
    <n v="4"/>
    <n v="3"/>
    <n v="12"/>
    <n v="10"/>
    <n v="3"/>
    <n v="4"/>
    <n v="10"/>
    <n v="12"/>
    <n v="2"/>
    <n v="0"/>
    <s v="Marco Guida"/>
    <n v="0"/>
    <n v="1"/>
    <n v="0"/>
    <n v="1"/>
    <n v="2"/>
    <n v="1"/>
    <n v="2"/>
    <n v="1"/>
    <s v="2."/>
    <n v="2"/>
    <n v="2"/>
    <x v="2"/>
  </r>
  <r>
    <s v="Sun Jun 2, 2024"/>
    <x v="4"/>
    <x v="10"/>
    <x v="3"/>
    <s v="18:00:00"/>
    <x v="1"/>
    <x v="10"/>
    <s v="3-4-1-2"/>
    <s v="2:3"/>
    <n v="12"/>
    <n v="8"/>
    <n v="12"/>
    <n v="8"/>
    <n v="1"/>
    <n v="1"/>
    <n v="1"/>
    <n v="1"/>
    <n v="54"/>
    <n v="46"/>
    <n v="54"/>
    <n v="46"/>
    <n v="4"/>
    <n v="4"/>
    <n v="5"/>
    <n v="9"/>
    <n v="4"/>
    <n v="4"/>
    <n v="5"/>
    <n v="9"/>
    <n v="5"/>
    <n v="4"/>
    <s v="Daniele Orsato"/>
    <n v="2"/>
    <n v="2"/>
    <n v="2"/>
    <n v="2"/>
    <n v="0"/>
    <n v="0"/>
    <n v="1"/>
    <n v="1"/>
    <s v="8."/>
    <n v="2"/>
    <n v="3"/>
    <x v="1"/>
  </r>
  <r>
    <s v="Sat Mar 30, 2024"/>
    <x v="4"/>
    <x v="6"/>
    <x v="2"/>
    <s v="12:30:00"/>
    <x v="0"/>
    <x v="3"/>
    <s v="3-4-1-2"/>
    <s v="0:3"/>
    <n v="20"/>
    <n v="12"/>
    <n v="12"/>
    <n v="20"/>
    <n v="3"/>
    <n v="5"/>
    <n v="5"/>
    <n v="3"/>
    <n v="61"/>
    <n v="39"/>
    <n v="39"/>
    <n v="61"/>
    <n v="7"/>
    <n v="5"/>
    <n v="6"/>
    <n v="13"/>
    <n v="5"/>
    <n v="7"/>
    <n v="13"/>
    <n v="6"/>
    <n v="3"/>
    <n v="2"/>
    <s v="Luca Pairetto"/>
    <n v="0"/>
    <n v="1"/>
    <n v="0"/>
    <n v="1"/>
    <n v="0"/>
    <n v="2"/>
    <n v="0"/>
    <n v="2"/>
    <s v="8."/>
    <n v="3"/>
    <n v="0"/>
    <x v="0"/>
  </r>
  <r>
    <s v="Sun Apr 7, 2024"/>
    <x v="4"/>
    <x v="7"/>
    <x v="2"/>
    <s v="18:00:00"/>
    <x v="0"/>
    <x v="2"/>
    <s v="3-4-1-2"/>
    <s v="2:1"/>
    <n v="11"/>
    <n v="7"/>
    <n v="7"/>
    <n v="11"/>
    <n v="1"/>
    <n v="1"/>
    <n v="1"/>
    <n v="1"/>
    <n v="38"/>
    <n v="62"/>
    <n v="62"/>
    <n v="38"/>
    <n v="4"/>
    <n v="4"/>
    <n v="16"/>
    <n v="19"/>
    <n v="4"/>
    <n v="4"/>
    <n v="19"/>
    <n v="16"/>
    <n v="2"/>
    <n v="1"/>
    <s v="Antonio Rapuano"/>
    <n v="0"/>
    <n v="1"/>
    <n v="0"/>
    <n v="1"/>
    <n v="2"/>
    <n v="0"/>
    <n v="2"/>
    <n v="0"/>
    <s v="16."/>
    <n v="1"/>
    <n v="2"/>
    <x v="1"/>
  </r>
  <r>
    <s v="Mon Apr 15, 2024"/>
    <x v="4"/>
    <x v="7"/>
    <x v="2"/>
    <s v="20:45:00"/>
    <x v="1"/>
    <x v="8"/>
    <s v="3-4-1-2"/>
    <s v="2:2"/>
    <n v="16"/>
    <n v="13"/>
    <n v="16"/>
    <n v="13"/>
    <n v="3"/>
    <n v="7"/>
    <n v="3"/>
    <n v="7"/>
    <n v="59"/>
    <n v="41"/>
    <n v="59"/>
    <n v="41"/>
    <n v="5"/>
    <n v="4"/>
    <n v="6"/>
    <n v="10"/>
    <n v="5"/>
    <n v="4"/>
    <n v="6"/>
    <n v="10"/>
    <n v="2"/>
    <n v="2"/>
    <s v="Juan Luca Sacchi"/>
    <n v="2"/>
    <n v="2"/>
    <n v="0"/>
    <n v="0"/>
    <n v="0"/>
    <n v="0"/>
    <n v="2"/>
    <n v="2"/>
    <s v="17."/>
    <n v="2"/>
    <n v="2"/>
    <x v="2"/>
  </r>
  <r>
    <s v="Sun Apr 21, 2024"/>
    <x v="4"/>
    <x v="7"/>
    <x v="2"/>
    <s v="20:45:00"/>
    <x v="0"/>
    <x v="22"/>
    <s v="3-4-1-2"/>
    <s v="1:2"/>
    <n v="17"/>
    <n v="12"/>
    <n v="12"/>
    <n v="17"/>
    <n v="4"/>
    <n v="1"/>
    <n v="1"/>
    <n v="4"/>
    <n v="58"/>
    <n v="42"/>
    <n v="42"/>
    <n v="58"/>
    <n v="2"/>
    <n v="8"/>
    <n v="8"/>
    <n v="13"/>
    <n v="8"/>
    <n v="2"/>
    <n v="13"/>
    <n v="8"/>
    <n v="0"/>
    <n v="1"/>
    <s v="Antonio Giua"/>
    <n v="0"/>
    <n v="0"/>
    <n v="0"/>
    <n v="0"/>
    <n v="1"/>
    <n v="2"/>
    <n v="1"/>
    <n v="2"/>
    <s v="11."/>
    <n v="2"/>
    <n v="1"/>
    <x v="0"/>
  </r>
  <r>
    <s v="Sun Apr 28, 2024"/>
    <x v="4"/>
    <x v="7"/>
    <x v="2"/>
    <s v="18:00:00"/>
    <x v="1"/>
    <x v="20"/>
    <s v="3-4-2-1"/>
    <s v="2:0"/>
    <n v="17"/>
    <n v="11"/>
    <n v="17"/>
    <n v="11"/>
    <n v="2"/>
    <n v="3"/>
    <n v="2"/>
    <n v="3"/>
    <n v="59"/>
    <n v="41"/>
    <n v="59"/>
    <n v="41"/>
    <n v="8"/>
    <n v="1"/>
    <n v="19"/>
    <n v="14"/>
    <n v="8"/>
    <n v="1"/>
    <n v="19"/>
    <n v="14"/>
    <n v="1"/>
    <n v="1"/>
    <s v="Michael Fabbri"/>
    <n v="0"/>
    <n v="0"/>
    <n v="1"/>
    <n v="1"/>
    <n v="0"/>
    <n v="0"/>
    <n v="1"/>
    <n v="1"/>
    <s v="16."/>
    <n v="0"/>
    <n v="2"/>
    <x v="1"/>
  </r>
  <r>
    <s v="Mon May 6, 2024"/>
    <x v="4"/>
    <x v="8"/>
    <x v="2"/>
    <s v="18:00:00"/>
    <x v="0"/>
    <x v="19"/>
    <s v="3-4-2-1"/>
    <s v="1:2"/>
    <n v="9"/>
    <n v="17"/>
    <n v="17"/>
    <n v="9"/>
    <n v="2"/>
    <n v="1"/>
    <n v="1"/>
    <n v="2"/>
    <n v="31"/>
    <n v="69"/>
    <n v="69"/>
    <n v="31"/>
    <n v="1"/>
    <n v="7"/>
    <n v="12"/>
    <n v="10"/>
    <n v="7"/>
    <n v="1"/>
    <n v="10"/>
    <n v="12"/>
    <n v="0"/>
    <n v="3"/>
    <s v="Ermanno feliciani"/>
    <n v="1"/>
    <n v="0"/>
    <n v="1"/>
    <n v="0"/>
    <n v="0"/>
    <n v="2"/>
    <n v="0"/>
    <n v="2"/>
    <s v="20."/>
    <n v="2"/>
    <n v="1"/>
    <x v="0"/>
  </r>
  <r>
    <s v="Sun May 12, 2024"/>
    <x v="4"/>
    <x v="8"/>
    <x v="2"/>
    <s v="20:45:00"/>
    <x v="1"/>
    <x v="12"/>
    <s v="3-4-2-1"/>
    <s v="2:1"/>
    <n v="24"/>
    <n v="9"/>
    <n v="24"/>
    <n v="9"/>
    <n v="5"/>
    <n v="6"/>
    <n v="5"/>
    <n v="6"/>
    <n v="57"/>
    <n v="43"/>
    <n v="57"/>
    <n v="43"/>
    <n v="6"/>
    <n v="1"/>
    <n v="11"/>
    <n v="11"/>
    <n v="6"/>
    <n v="1"/>
    <n v="11"/>
    <n v="11"/>
    <n v="2"/>
    <n v="1"/>
    <s v="Marco Guida"/>
    <n v="2"/>
    <n v="2"/>
    <n v="0"/>
    <n v="0"/>
    <n v="0"/>
    <n v="0"/>
    <n v="1"/>
    <n v="1"/>
    <s v="6."/>
    <n v="2"/>
    <n v="1"/>
    <x v="0"/>
  </r>
  <r>
    <s v="Sat May 18, 2024"/>
    <x v="4"/>
    <x v="8"/>
    <x v="2"/>
    <s v="18:00:00"/>
    <x v="0"/>
    <x v="24"/>
    <s v="3-4-1-2"/>
    <s v="0:2"/>
    <n v="11"/>
    <n v="19"/>
    <n v="19"/>
    <n v="11"/>
    <n v="7"/>
    <n v="3"/>
    <n v="3"/>
    <n v="7"/>
    <n v="44"/>
    <n v="56"/>
    <n v="56"/>
    <n v="44"/>
    <n v="2"/>
    <n v="5"/>
    <n v="7"/>
    <n v="20"/>
    <n v="5"/>
    <n v="2"/>
    <n v="20"/>
    <n v="7"/>
    <n v="1"/>
    <n v="0"/>
    <s v="Antonio Rapuano"/>
    <n v="0"/>
    <n v="0"/>
    <n v="0"/>
    <n v="0"/>
    <n v="0"/>
    <n v="2"/>
    <n v="0"/>
    <n v="2"/>
    <s v="13."/>
    <n v="2"/>
    <n v="0"/>
    <x v="0"/>
  </r>
  <r>
    <s v="Sun May 26, 2024"/>
    <x v="4"/>
    <x v="8"/>
    <x v="2"/>
    <s v="18:00:00"/>
    <x v="1"/>
    <x v="1"/>
    <s v="3-4-2-1"/>
    <s v="3:0"/>
    <n v="18"/>
    <n v="8"/>
    <n v="18"/>
    <n v="8"/>
    <n v="1"/>
    <n v="4"/>
    <n v="1"/>
    <n v="4"/>
    <n v="40"/>
    <n v="60"/>
    <n v="40"/>
    <n v="60"/>
    <n v="2"/>
    <n v="5"/>
    <n v="18"/>
    <n v="10"/>
    <n v="2"/>
    <n v="5"/>
    <n v="18"/>
    <n v="10"/>
    <n v="1"/>
    <n v="3"/>
    <s v="Simone Sozza"/>
    <n v="1"/>
    <n v="1"/>
    <n v="0"/>
    <n v="0"/>
    <n v="2"/>
    <n v="2"/>
    <n v="0"/>
    <n v="0"/>
    <s v="9."/>
    <n v="3"/>
    <n v="0"/>
    <x v="0"/>
  </r>
  <r>
    <s v="Mon Aug 19, 2024"/>
    <x v="4"/>
    <x v="9"/>
    <x v="3"/>
    <s v="18:30:00"/>
    <x v="0"/>
    <x v="24"/>
    <s v="3-4-1-2"/>
    <s v="0:4"/>
    <n v="21"/>
    <n v="11"/>
    <n v="11"/>
    <n v="21"/>
    <n v="2"/>
    <n v="4"/>
    <n v="4"/>
    <n v="2"/>
    <n v="47"/>
    <n v="53"/>
    <n v="53"/>
    <n v="47"/>
    <n v="5"/>
    <n v="3"/>
    <n v="10"/>
    <n v="24"/>
    <n v="3"/>
    <n v="5"/>
    <n v="24"/>
    <n v="10"/>
    <n v="1"/>
    <n v="1"/>
    <s v="Davide Massa"/>
    <n v="0"/>
    <n v="1"/>
    <n v="0"/>
    <n v="1"/>
    <n v="0"/>
    <n v="3"/>
    <n v="0"/>
    <n v="3"/>
    <s v="17."/>
    <n v="4"/>
    <n v="0"/>
    <x v="0"/>
  </r>
  <r>
    <s v="Sun Aug 25, 2024"/>
    <x v="4"/>
    <x v="9"/>
    <x v="3"/>
    <s v="18:30:00"/>
    <x v="0"/>
    <x v="1"/>
    <s v="3-4-2-1"/>
    <s v="2:1"/>
    <n v="13"/>
    <n v="25"/>
    <n v="25"/>
    <n v="13"/>
    <n v="8"/>
    <n v="4"/>
    <n v="4"/>
    <n v="8"/>
    <n v="42"/>
    <n v="58"/>
    <n v="58"/>
    <n v="42"/>
    <n v="4"/>
    <n v="6"/>
    <n v="11"/>
    <n v="14"/>
    <n v="6"/>
    <n v="4"/>
    <n v="14"/>
    <n v="11"/>
    <n v="1"/>
    <n v="0"/>
    <s v="Antonio Rapuano"/>
    <n v="1"/>
    <n v="1"/>
    <n v="1"/>
    <n v="1"/>
    <n v="1"/>
    <n v="0"/>
    <n v="1"/>
    <n v="0"/>
    <s v="7."/>
    <n v="1"/>
    <n v="2"/>
    <x v="1"/>
  </r>
  <r>
    <s v="Fri Aug 30, 2024"/>
    <x v="4"/>
    <x v="9"/>
    <x v="3"/>
    <s v="20:45:00"/>
    <x v="0"/>
    <x v="6"/>
    <s v="3-4-2-1"/>
    <s v="4:0"/>
    <n v="13"/>
    <n v="11"/>
    <n v="11"/>
    <n v="13"/>
    <n v="1"/>
    <n v="1"/>
    <n v="1"/>
    <n v="1"/>
    <n v="55"/>
    <n v="45"/>
    <n v="45"/>
    <n v="55"/>
    <n v="3"/>
    <n v="4"/>
    <n v="6"/>
    <n v="15"/>
    <n v="4"/>
    <n v="3"/>
    <n v="15"/>
    <n v="6"/>
    <n v="5"/>
    <n v="1"/>
    <s v="Matteo Marchetti"/>
    <n v="2"/>
    <n v="0"/>
    <n v="2"/>
    <n v="0"/>
    <n v="2"/>
    <n v="0"/>
    <n v="2"/>
    <n v="0"/>
    <s v="2."/>
    <n v="0"/>
    <n v="4"/>
    <x v="1"/>
  </r>
  <r>
    <s v="Sun Sep 15, 2024"/>
    <x v="4"/>
    <x v="0"/>
    <x v="0"/>
    <s v="15:00:00"/>
    <x v="1"/>
    <x v="10"/>
    <s v="3-4-2-1"/>
    <s v="3:2"/>
    <n v="13"/>
    <n v="15"/>
    <n v="13"/>
    <n v="15"/>
    <n v="4"/>
    <n v="4"/>
    <n v="4"/>
    <n v="4"/>
    <n v="51"/>
    <n v="49"/>
    <n v="51"/>
    <n v="49"/>
    <n v="5"/>
    <n v="2"/>
    <n v="16"/>
    <n v="15"/>
    <n v="5"/>
    <n v="2"/>
    <n v="16"/>
    <n v="15"/>
    <n v="2"/>
    <n v="4"/>
    <s v="Juan Luca Sacchi"/>
    <n v="1"/>
    <n v="1"/>
    <n v="2"/>
    <n v="2"/>
    <n v="2"/>
    <n v="2"/>
    <n v="0"/>
    <n v="0"/>
    <s v="11."/>
    <n v="3"/>
    <n v="2"/>
    <x v="0"/>
  </r>
  <r>
    <s v="Tue Sep 24, 2024"/>
    <x v="4"/>
    <x v="0"/>
    <x v="0"/>
    <s v="20:45:00"/>
    <x v="1"/>
    <x v="26"/>
    <s v="3-4-1-2"/>
    <s v="2:3"/>
    <n v="8"/>
    <n v="14"/>
    <n v="8"/>
    <n v="14"/>
    <n v="5"/>
    <n v="3"/>
    <n v="5"/>
    <n v="3"/>
    <n v="59"/>
    <n v="41"/>
    <n v="59"/>
    <n v="41"/>
    <n v="6"/>
    <n v="2"/>
    <n v="12"/>
    <n v="17"/>
    <n v="6"/>
    <n v="2"/>
    <n v="12"/>
    <n v="17"/>
    <n v="0"/>
    <n v="0"/>
    <s v="Paride Tremolada"/>
    <n v="1"/>
    <n v="1"/>
    <n v="0"/>
    <n v="0"/>
    <n v="1"/>
    <n v="1"/>
    <n v="3"/>
    <n v="3"/>
    <s v="18."/>
    <n v="2"/>
    <n v="3"/>
    <x v="1"/>
  </r>
  <r>
    <s v="Sat Sep 28, 2024"/>
    <x v="4"/>
    <x v="0"/>
    <x v="0"/>
    <s v="20:45:00"/>
    <x v="0"/>
    <x v="13"/>
    <s v="3-4-1-2"/>
    <s v="1:1"/>
    <n v="5"/>
    <n v="23"/>
    <n v="23"/>
    <n v="5"/>
    <n v="3"/>
    <n v="0"/>
    <n v="0"/>
    <n v="3"/>
    <n v="36"/>
    <n v="64"/>
    <n v="64"/>
    <n v="36"/>
    <n v="2"/>
    <n v="9"/>
    <n v="16"/>
    <n v="12"/>
    <n v="9"/>
    <n v="2"/>
    <n v="12"/>
    <n v="16"/>
    <n v="3"/>
    <n v="1"/>
    <s v="Antonio Rapuano"/>
    <n v="0"/>
    <n v="0"/>
    <n v="0"/>
    <n v="0"/>
    <n v="1"/>
    <n v="1"/>
    <n v="1"/>
    <n v="1"/>
    <s v="13."/>
    <n v="1"/>
    <n v="1"/>
    <x v="2"/>
  </r>
  <r>
    <s v="Sat Oct 5, 2024"/>
    <x v="4"/>
    <x v="1"/>
    <x v="0"/>
    <s v="18:00:00"/>
    <x v="1"/>
    <x v="17"/>
    <s v="3-4-2-1"/>
    <s v="5:1"/>
    <n v="23"/>
    <n v="7"/>
    <n v="23"/>
    <n v="7"/>
    <n v="1"/>
    <n v="3"/>
    <n v="1"/>
    <n v="3"/>
    <n v="63"/>
    <n v="37"/>
    <n v="63"/>
    <n v="37"/>
    <n v="4"/>
    <n v="2"/>
    <n v="9"/>
    <n v="15"/>
    <n v="4"/>
    <n v="2"/>
    <n v="9"/>
    <n v="15"/>
    <n v="1"/>
    <n v="1"/>
    <s v="Daniele Chiffi"/>
    <n v="1"/>
    <n v="1"/>
    <n v="0"/>
    <n v="0"/>
    <n v="4"/>
    <n v="4"/>
    <n v="1"/>
    <n v="1"/>
    <s v="16."/>
    <n v="5"/>
    <n v="1"/>
    <x v="0"/>
  </r>
  <r>
    <s v="Sun Oct 20, 2024"/>
    <x v="4"/>
    <x v="1"/>
    <x v="0"/>
    <s v="15:00:00"/>
    <x v="0"/>
    <x v="21"/>
    <s v="3-4-2-1"/>
    <s v="0:2"/>
    <n v="12"/>
    <n v="16"/>
    <n v="16"/>
    <n v="12"/>
    <n v="5"/>
    <n v="4"/>
    <n v="4"/>
    <n v="5"/>
    <n v="42"/>
    <n v="58"/>
    <n v="58"/>
    <n v="42"/>
    <n v="2"/>
    <n v="5"/>
    <n v="12"/>
    <n v="6"/>
    <n v="5"/>
    <n v="2"/>
    <n v="6"/>
    <n v="12"/>
    <n v="2"/>
    <n v="2"/>
    <s v="Luca Zuferli"/>
    <n v="0"/>
    <n v="1"/>
    <n v="0"/>
    <n v="1"/>
    <n v="0"/>
    <n v="1"/>
    <n v="0"/>
    <n v="1"/>
    <s v="20."/>
    <n v="2"/>
    <n v="0"/>
    <x v="0"/>
  </r>
  <r>
    <s v="Sat Oct 26, 2024"/>
    <x v="4"/>
    <x v="1"/>
    <x v="0"/>
    <s v="20:45:00"/>
    <x v="1"/>
    <x v="8"/>
    <s v="3-4-2-1"/>
    <s v="6:1"/>
    <n v="19"/>
    <n v="4"/>
    <n v="19"/>
    <n v="4"/>
    <n v="1"/>
    <n v="4"/>
    <n v="1"/>
    <n v="4"/>
    <n v="69"/>
    <n v="31"/>
    <n v="69"/>
    <n v="31"/>
    <n v="4"/>
    <n v="2"/>
    <n v="3"/>
    <n v="15"/>
    <n v="4"/>
    <n v="2"/>
    <n v="3"/>
    <n v="15"/>
    <n v="1"/>
    <n v="2"/>
    <s v="Ermanno Feliciani"/>
    <n v="5"/>
    <n v="5"/>
    <n v="1"/>
    <n v="1"/>
    <n v="1"/>
    <n v="1"/>
    <n v="0"/>
    <n v="0"/>
    <s v="13."/>
    <n v="6"/>
    <n v="1"/>
    <x v="0"/>
  </r>
  <r>
    <s v="Wed Oct 30, 2024"/>
    <x v="4"/>
    <x v="1"/>
    <x v="0"/>
    <s v="20:45:00"/>
    <x v="1"/>
    <x v="22"/>
    <s v="3-4-2-1"/>
    <s v="2:0"/>
    <n v="16"/>
    <n v="4"/>
    <n v="16"/>
    <n v="4"/>
    <n v="3"/>
    <n v="3"/>
    <n v="3"/>
    <n v="3"/>
    <n v="54"/>
    <n v="46"/>
    <n v="54"/>
    <n v="46"/>
    <n v="5"/>
    <n v="1"/>
    <n v="14"/>
    <n v="11"/>
    <n v="5"/>
    <n v="1"/>
    <n v="14"/>
    <n v="11"/>
    <n v="0"/>
    <n v="1"/>
    <s v="Marco Piccinini"/>
    <n v="0"/>
    <n v="0"/>
    <n v="0"/>
    <n v="0"/>
    <n v="2"/>
    <n v="2"/>
    <n v="0"/>
    <n v="0"/>
    <s v="16."/>
    <n v="2"/>
    <n v="0"/>
    <x v="0"/>
  </r>
  <r>
    <s v="Sun Nov 3, 2024"/>
    <x v="4"/>
    <x v="2"/>
    <x v="0"/>
    <s v="12:30:00"/>
    <x v="0"/>
    <x v="3"/>
    <s v="3-4-1-2"/>
    <s v="0:3"/>
    <n v="13"/>
    <n v="12"/>
    <n v="12"/>
    <n v="13"/>
    <n v="0"/>
    <n v="3"/>
    <n v="3"/>
    <n v="0"/>
    <n v="50"/>
    <n v="50"/>
    <n v="50"/>
    <n v="50"/>
    <n v="4"/>
    <n v="3"/>
    <n v="10"/>
    <n v="8"/>
    <n v="3"/>
    <n v="4"/>
    <n v="8"/>
    <n v="10"/>
    <n v="1"/>
    <n v="3"/>
    <s v="Daniele Doveri"/>
    <n v="0"/>
    <n v="2"/>
    <n v="0"/>
    <n v="2"/>
    <n v="0"/>
    <n v="1"/>
    <n v="0"/>
    <n v="1"/>
    <s v="1."/>
    <n v="3"/>
    <n v="0"/>
    <x v="0"/>
  </r>
  <r>
    <s v="Sun Nov 10, 2024"/>
    <x v="4"/>
    <x v="2"/>
    <x v="0"/>
    <s v="12:30:00"/>
    <x v="1"/>
    <x v="9"/>
    <s v="3-4-2-1"/>
    <s v="2:1"/>
    <n v="10"/>
    <n v="11"/>
    <n v="10"/>
    <n v="11"/>
    <n v="4"/>
    <n v="5"/>
    <n v="4"/>
    <n v="5"/>
    <n v="54"/>
    <n v="46"/>
    <n v="54"/>
    <n v="46"/>
    <n v="4"/>
    <n v="5"/>
    <n v="10"/>
    <n v="13"/>
    <n v="4"/>
    <n v="5"/>
    <n v="10"/>
    <n v="13"/>
    <n v="2"/>
    <n v="0"/>
    <s v="Marco Di Bello"/>
    <n v="0"/>
    <n v="0"/>
    <n v="0"/>
    <n v="0"/>
    <n v="2"/>
    <n v="2"/>
    <n v="1"/>
    <n v="1"/>
    <s v="8."/>
    <n v="2"/>
    <n v="1"/>
    <x v="0"/>
  </r>
  <r>
    <s v="Sat Nov 23, 2024"/>
    <x v="4"/>
    <x v="2"/>
    <x v="0"/>
    <s v="20:45:00"/>
    <x v="0"/>
    <x v="15"/>
    <s v="3-4-1-2"/>
    <s v="1:3"/>
    <n v="9"/>
    <n v="15"/>
    <n v="15"/>
    <n v="9"/>
    <n v="3"/>
    <n v="2"/>
    <n v="2"/>
    <n v="3"/>
    <n v="45"/>
    <n v="55"/>
    <n v="55"/>
    <n v="45"/>
    <n v="2"/>
    <n v="5"/>
    <n v="6"/>
    <n v="8"/>
    <n v="5"/>
    <n v="2"/>
    <n v="8"/>
    <n v="6"/>
    <n v="0"/>
    <n v="6"/>
    <s v="Gianluca manganiello"/>
    <n v="0"/>
    <n v="2"/>
    <n v="0"/>
    <n v="2"/>
    <n v="1"/>
    <n v="1"/>
    <n v="1"/>
    <n v="1"/>
    <s v="13."/>
    <n v="3"/>
    <n v="1"/>
    <x v="0"/>
  </r>
  <r>
    <s v="Mon Dec 2, 2024"/>
    <x v="4"/>
    <x v="4"/>
    <x v="1"/>
    <s v="20:45:00"/>
    <x v="0"/>
    <x v="12"/>
    <s v="3-4-2-1"/>
    <s v="0:2"/>
    <n v="5"/>
    <n v="18"/>
    <n v="18"/>
    <n v="5"/>
    <n v="5"/>
    <n v="1"/>
    <n v="1"/>
    <n v="5"/>
    <n v="48"/>
    <n v="52"/>
    <n v="52"/>
    <n v="48"/>
    <n v="2"/>
    <n v="4"/>
    <n v="17"/>
    <n v="13"/>
    <n v="4"/>
    <n v="2"/>
    <n v="13"/>
    <n v="17"/>
    <n v="1"/>
    <n v="1"/>
    <s v="Marco Guida"/>
    <n v="0"/>
    <n v="0"/>
    <n v="0"/>
    <n v="0"/>
    <n v="0"/>
    <n v="2"/>
    <n v="0"/>
    <n v="2"/>
    <s v="12."/>
    <n v="2"/>
    <n v="0"/>
    <x v="0"/>
  </r>
  <r>
    <s v="Fri Dec 6, 2024"/>
    <x v="4"/>
    <x v="4"/>
    <x v="1"/>
    <s v="20:45:00"/>
    <x v="1"/>
    <x v="18"/>
    <s v="3-4-1-2"/>
    <s v="2:1"/>
    <n v="17"/>
    <n v="6"/>
    <n v="17"/>
    <n v="6"/>
    <n v="1"/>
    <n v="6"/>
    <n v="1"/>
    <n v="6"/>
    <n v="52"/>
    <n v="48"/>
    <n v="52"/>
    <n v="48"/>
    <n v="7"/>
    <n v="0"/>
    <n v="14"/>
    <n v="13"/>
    <n v="7"/>
    <n v="0"/>
    <n v="14"/>
    <n v="13"/>
    <n v="0"/>
    <n v="2"/>
    <s v="federico La Penna"/>
    <n v="1"/>
    <n v="1"/>
    <n v="1"/>
    <n v="1"/>
    <n v="1"/>
    <n v="1"/>
    <n v="0"/>
    <n v="0"/>
    <s v="7."/>
    <n v="2"/>
    <n v="1"/>
    <x v="0"/>
  </r>
  <r>
    <s v="Sat Dec 14, 2024"/>
    <x v="4"/>
    <x v="4"/>
    <x v="1"/>
    <s v="15:00:00"/>
    <x v="0"/>
    <x v="2"/>
    <s v="3-4-2-1"/>
    <s v="0:1"/>
    <n v="12"/>
    <n v="12"/>
    <n v="12"/>
    <n v="12"/>
    <n v="1"/>
    <n v="8"/>
    <n v="8"/>
    <n v="1"/>
    <n v="44"/>
    <n v="56"/>
    <n v="56"/>
    <n v="44"/>
    <n v="2"/>
    <n v="5"/>
    <n v="16"/>
    <n v="10"/>
    <n v="5"/>
    <n v="2"/>
    <n v="10"/>
    <n v="16"/>
    <n v="1"/>
    <n v="4"/>
    <s v="Luca Pairetto"/>
    <n v="0"/>
    <n v="0"/>
    <n v="0"/>
    <n v="0"/>
    <n v="0"/>
    <n v="1"/>
    <n v="0"/>
    <n v="1"/>
    <s v="15."/>
    <n v="1"/>
    <n v="0"/>
    <x v="0"/>
  </r>
  <r>
    <s v="Sun Dec 22, 2024"/>
    <x v="4"/>
    <x v="4"/>
    <x v="1"/>
    <s v="18:00:00"/>
    <x v="1"/>
    <x v="20"/>
    <s v="3-4-2-1"/>
    <s v="3:2"/>
    <n v="16"/>
    <n v="7"/>
    <n v="16"/>
    <n v="7"/>
    <n v="1"/>
    <n v="3"/>
    <n v="1"/>
    <n v="3"/>
    <n v="65"/>
    <n v="35"/>
    <n v="65"/>
    <n v="35"/>
    <n v="6"/>
    <n v="3"/>
    <n v="11"/>
    <n v="15"/>
    <n v="6"/>
    <n v="3"/>
    <n v="11"/>
    <n v="15"/>
    <n v="1"/>
    <n v="1"/>
    <s v="Ermanno Feliciani"/>
    <n v="1"/>
    <n v="1"/>
    <n v="1"/>
    <n v="1"/>
    <n v="2"/>
    <n v="2"/>
    <n v="1"/>
    <n v="1"/>
    <s v="10."/>
    <n v="3"/>
    <n v="2"/>
    <x v="0"/>
  </r>
  <r>
    <s v="Sat Dec 28, 2024"/>
    <x v="4"/>
    <x v="4"/>
    <x v="1"/>
    <s v="20:45:00"/>
    <x v="0"/>
    <x v="0"/>
    <s v="3-4-2-1"/>
    <s v="1:1"/>
    <n v="11"/>
    <n v="14"/>
    <n v="14"/>
    <n v="11"/>
    <n v="2"/>
    <n v="4"/>
    <n v="4"/>
    <n v="2"/>
    <n v="40"/>
    <n v="60"/>
    <n v="60"/>
    <n v="40"/>
    <n v="2"/>
    <n v="7"/>
    <n v="6"/>
    <n v="11"/>
    <n v="7"/>
    <n v="2"/>
    <n v="11"/>
    <n v="6"/>
    <n v="0"/>
    <n v="3"/>
    <s v="Davide Massa"/>
    <n v="1"/>
    <n v="0"/>
    <n v="1"/>
    <n v="0"/>
    <n v="0"/>
    <n v="1"/>
    <n v="0"/>
    <n v="1"/>
    <s v="4."/>
    <n v="1"/>
    <n v="1"/>
    <x v="2"/>
  </r>
  <r>
    <s v="Sat Jan 11, 2025"/>
    <x v="5"/>
    <x v="3"/>
    <x v="1"/>
    <s v="15:00:00"/>
    <x v="0"/>
    <x v="9"/>
    <s v="3-4-1-2"/>
    <s v="0:0"/>
    <n v="12"/>
    <n v="4"/>
    <n v="4"/>
    <n v="12"/>
    <n v="4"/>
    <n v="1"/>
    <n v="1"/>
    <n v="4"/>
    <n v="46"/>
    <n v="54"/>
    <n v="54"/>
    <n v="46"/>
    <n v="5"/>
    <n v="3"/>
    <n v="4"/>
    <n v="16"/>
    <n v="3"/>
    <n v="5"/>
    <n v="16"/>
    <n v="4"/>
    <n v="0"/>
    <n v="2"/>
    <s v="Maurizio Mariani"/>
    <n v="0"/>
    <n v="0"/>
    <n v="0"/>
    <n v="0"/>
    <n v="0"/>
    <n v="0"/>
    <n v="0"/>
    <n v="0"/>
    <s v="9."/>
    <n v="0"/>
    <n v="0"/>
    <x v="2"/>
  </r>
  <r>
    <s v="Tue Jan 14, 2025"/>
    <x v="5"/>
    <x v="3"/>
    <x v="1"/>
    <s v="20:45:00"/>
    <x v="1"/>
    <x v="11"/>
    <s v="3-4-1-2"/>
    <s v="1:1"/>
    <n v="17"/>
    <n v="17"/>
    <n v="17"/>
    <n v="17"/>
    <n v="7"/>
    <n v="4"/>
    <n v="7"/>
    <n v="4"/>
    <n v="60"/>
    <n v="40"/>
    <n v="60"/>
    <n v="40"/>
    <n v="3"/>
    <n v="3"/>
    <n v="10"/>
    <n v="7"/>
    <n v="3"/>
    <n v="3"/>
    <n v="10"/>
    <n v="7"/>
    <n v="2"/>
    <n v="2"/>
    <s v="Daniele Doveri"/>
    <n v="0"/>
    <n v="0"/>
    <n v="0"/>
    <n v="0"/>
    <n v="1"/>
    <n v="1"/>
    <n v="1"/>
    <n v="1"/>
    <s v="6."/>
    <n v="1"/>
    <n v="1"/>
    <x v="2"/>
  </r>
  <r>
    <s v="Sat Jan 18, 2025"/>
    <x v="5"/>
    <x v="3"/>
    <x v="1"/>
    <s v="20:45:00"/>
    <x v="1"/>
    <x v="3"/>
    <s v="3-4-1-2"/>
    <s v="2:3"/>
    <n v="15"/>
    <n v="6"/>
    <n v="15"/>
    <n v="6"/>
    <n v="7"/>
    <n v="2"/>
    <n v="7"/>
    <n v="2"/>
    <n v="57"/>
    <n v="43"/>
    <n v="57"/>
    <n v="43"/>
    <n v="3"/>
    <n v="1"/>
    <n v="18"/>
    <n v="9"/>
    <n v="3"/>
    <n v="1"/>
    <n v="18"/>
    <n v="9"/>
    <n v="1"/>
    <n v="1"/>
    <s v="Andrea Colombo"/>
    <n v="1"/>
    <n v="1"/>
    <n v="2"/>
    <n v="2"/>
    <n v="1"/>
    <n v="1"/>
    <n v="1"/>
    <n v="1"/>
    <s v="1."/>
    <n v="2"/>
    <n v="3"/>
    <x v="1"/>
  </r>
  <r>
    <s v="Sat Jan 25, 2025"/>
    <x v="5"/>
    <x v="3"/>
    <x v="1"/>
    <s v="15:00:00"/>
    <x v="0"/>
    <x v="26"/>
    <s v="3-4-2-1"/>
    <s v="1:2"/>
    <n v="15"/>
    <n v="5"/>
    <n v="5"/>
    <n v="15"/>
    <n v="1"/>
    <n v="4"/>
    <n v="4"/>
    <n v="1"/>
    <n v="54"/>
    <n v="46"/>
    <n v="46"/>
    <n v="54"/>
    <n v="4"/>
    <n v="5"/>
    <n v="15"/>
    <n v="10"/>
    <n v="5"/>
    <n v="4"/>
    <n v="10"/>
    <n v="15"/>
    <n v="1"/>
    <n v="3"/>
    <s v="Luca Pairetto"/>
    <n v="1"/>
    <n v="0"/>
    <n v="1"/>
    <n v="0"/>
    <n v="0"/>
    <n v="2"/>
    <n v="0"/>
    <n v="2"/>
    <s v="13."/>
    <n v="2"/>
    <n v="1"/>
    <x v="0"/>
  </r>
  <r>
    <s v="Sat Feb 1, 2025"/>
    <x v="5"/>
    <x v="5"/>
    <x v="1"/>
    <d v="1899-12-30T18:00:00"/>
    <x v="1"/>
    <x v="1"/>
    <s v="3-4-2-1"/>
    <s v="1:1"/>
    <n v="22"/>
    <n v="5"/>
    <n v="22"/>
    <n v="5"/>
    <n v="3"/>
    <n v="0"/>
    <n v="3"/>
    <n v="0"/>
    <n v="65"/>
    <n v="35"/>
    <n v="65"/>
    <n v="35"/>
    <n v="8"/>
    <n v="0"/>
    <n v="6"/>
    <n v="11"/>
    <n v="8"/>
    <n v="0"/>
    <n v="6"/>
    <n v="11"/>
    <n v="1"/>
    <n v="0"/>
    <s v="Marco Piccinini"/>
    <n v="1"/>
    <n v="1"/>
    <n v="1"/>
    <n v="1"/>
    <n v="0"/>
    <n v="0"/>
    <n v="0"/>
    <n v="0"/>
    <s v="11."/>
    <n v="1"/>
    <n v="1"/>
    <x v="2"/>
  </r>
  <r>
    <s v="Sat feb 8, 2025"/>
    <x v="5"/>
    <x v="5"/>
    <x v="1"/>
    <d v="1899-12-30T15:00:00"/>
    <x v="0"/>
    <x v="8"/>
    <s v="3-4-2-1"/>
    <s v="0:5"/>
    <n v="19"/>
    <n v="17"/>
    <n v="17"/>
    <n v="19"/>
    <n v="8"/>
    <n v="9"/>
    <n v="9"/>
    <n v="8"/>
    <n v="38"/>
    <n v="62"/>
    <n v="62"/>
    <n v="38"/>
    <n v="7"/>
    <n v="2"/>
    <n v="10"/>
    <n v="6"/>
    <n v="2"/>
    <n v="7"/>
    <n v="6"/>
    <n v="10"/>
    <n v="3"/>
    <n v="0"/>
    <s v="Simone Sozza"/>
    <n v="0"/>
    <n v="3"/>
    <n v="0"/>
    <n v="3"/>
    <n v="0"/>
    <n v="2"/>
    <n v="0"/>
    <n v="2"/>
    <s v="15."/>
    <n v="5"/>
    <n v="0"/>
    <x v="0"/>
  </r>
  <r>
    <m/>
    <x v="6"/>
    <x v="11"/>
    <x v="4"/>
    <m/>
    <x v="2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F24AE-2A5C-44F3-9E7C-4D7975A97D3F}" name="TablaDinámica6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8">
  <location ref="A3:E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hier="-1"/>
  </pageFields>
  <dataFields count="4">
    <dataField name="Promedio de Gol_Primero_Atalanta" fld="33" subtotal="average" baseField="5" baseItem="0"/>
    <dataField name="Promedio de Gol_primero_oponente" fld="34" subtotal="average" baseField="5" baseItem="0"/>
    <dataField name="Promedio de Gol_Segundo_Atalanta" fld="37" subtotal="average" baseField="5" baseItem="0"/>
    <dataField name="Promedio de Gol_Segundo_Oponente." fld="38" subtotal="average" baseField="5" baseItem="0"/>
  </dataFields>
  <formats count="1">
    <format dxfId="167">
      <pivotArea outline="0" collapsedLevelsAreSubtotals="1" fieldPosition="0"/>
    </format>
  </formats>
  <chartFormats count="4"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ACACBA-D9CC-4E20-AB49-59A1A20BE30F}" name="TablaDinámica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4">
  <location ref="A3:C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Goles_Atalanta" fld="41" subtotal="average" baseField="5" baseItem="26"/>
    <dataField name="Promedio de Goles_Oponente" fld="42" subtotal="average" baseField="5" baseItem="26"/>
  </dataFields>
  <formats count="1">
    <format dxfId="166">
      <pivotArea outline="0" collapsedLevelsAreSubtotals="1" fieldPosition="0"/>
    </format>
  </formats>
  <chartFormats count="2"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16608-3288-4CF9-A0FD-FEBD48E53ADA}" name="TablaDinámica13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3">
  <location ref="A3:C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Tiros_Atalanta" fld="11" subtotal="average" baseField="5" baseItem="24" numFmtId="2"/>
    <dataField name="Promedio de Tiros_puerta_Atalanta" fld="15" subtotal="average" baseField="5" baseItem="0"/>
  </dataFields>
  <formats count="2">
    <format dxfId="165">
      <pivotArea collapsedLevelsAreSubtotals="1" fieldPosition="0">
        <references count="2">
          <reference field="4294967294" count="1" selected="0">
            <x v="1"/>
          </reference>
          <reference field="6" count="0"/>
        </references>
      </pivotArea>
    </format>
    <format dxfId="1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4">
    <chartFormat chart="9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F96FFE-F8E4-42A7-9722-3ED5F239891C}" name="TablaDinámica14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0">
  <location ref="A3:C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6"/>
        <item h="1" x="23"/>
        <item h="1" x="5"/>
        <item h="1" x="20"/>
        <item h="1" x="10"/>
        <item h="1" x="25"/>
        <item h="1" x="17"/>
        <item h="1" x="8"/>
        <item h="1" x="6"/>
        <item h="1" x="11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 sortType="ascending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Faltas_Atalanta" fld="27" subtotal="average" baseField="0" baseItem="2" numFmtId="2"/>
    <dataField name="Promedio de Faltas_oponente" fld="28" subtotal="average" baseField="0" baseItem="2" numFmtId="2"/>
  </dataFields>
  <chartFormats count="2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C1073E-E86D-4605-AA97-8AE31D4B5CCE}" name="Promedio_tiros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A3:C5" firstHeaderRow="0" firstDataRow="1" firstDataCol="1" rowPageCount="1" colPageCount="1"/>
  <pivotFields count="44"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Tiros_puerta_Atalanta" fld="15" subtotal="average" baseField="5" baseItem="0"/>
    <dataField name="Promedio de Goles_Atalanta" fld="41" subtotal="average" baseField="5" baseItem="0" numFmtId="2"/>
  </dataFields>
  <formats count="2">
    <format dxfId="16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0"/>
          </reference>
          <reference field="6" count="0"/>
        </references>
      </pivotArea>
    </format>
  </formats>
  <chartFormats count="2"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86B6F-F27A-42BA-A06D-7CFF6CF0DD21}" name="TablaDinámica2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2">
  <location ref="A107:C109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Máx. de Goles_Atalanta" fld="41" subtotal="max" baseField="5" baseItem="3" numFmtId="2"/>
    <dataField name="Máx. de Goles_Oponente" fld="42" subtotal="max" baseField="5" baseItem="0"/>
  </dataFields>
  <formats count="2">
    <format dxfId="1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2">
      <pivotArea outline="0" collapsedLevelsAreSubtotals="1" fieldPosition="0"/>
    </format>
  </formats>
  <chartFormats count="1"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E20B9-8ECA-4C40-B029-8B4A11A95281}" name="TablaDinámica17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4">
  <location ref="A3:C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Tiros_Atalanta" fld="11" subtotal="average" baseField="5" baseItem="4"/>
    <dataField name="Promedio de Tiros_Oponente" fld="12" subtotal="average" baseField="5" baseItem="4"/>
  </dataFields>
  <formats count="1">
    <format dxfId="159">
      <pivotArea outline="0" collapsedLevelsAreSubtotals="1" fieldPosition="0"/>
    </format>
  </formats>
  <chartFormats count="10"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1"/>
          </reference>
          <reference field="6" count="1" selected="0">
            <x v="26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1"/>
          </reference>
          <reference field="6" count="1" selected="0">
            <x v="27"/>
          </reference>
        </references>
      </pivotArea>
    </chartFormat>
    <chartFormat chart="2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1C1FD3-9A37-454F-98DA-FAAE971C377B}" name="TablaDinámica15" cacheId="2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20">
  <location ref="A3:C5" firstHeaderRow="0" firstDataRow="1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showAll="0">
      <items count="29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Promedio de Corners_Atalanta" fld="25" subtotal="average" baseField="5" baseItem="13"/>
    <dataField name="Promedio de Corners_Oponente" fld="26" subtotal="average" baseField="5" baseItem="13"/>
  </dataFields>
  <formats count="1">
    <format dxfId="158">
      <pivotArea collapsedLevelsAreSubtotals="1" fieldPosition="0">
        <references count="1">
          <reference field="6" count="0"/>
        </references>
      </pivotArea>
    </format>
  </formats>
  <chartFormats count="10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1"/>
          </reference>
          <reference field="6" count="1" selected="0">
            <x v="4"/>
          </reference>
        </references>
      </pivotArea>
    </chartFormat>
  </chartFormats>
  <pivotTableStyleInfo name="PivotStyleDark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B9165-7BFD-4881-ACD1-134232D599A2}" name="TablaDinámica8" cacheId="2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itemPrintTitles="1" createdVersion="7" indent="0" outline="1" outlineData="1" chartFormat="20">
  <location ref="A4:E7" firstHeaderRow="1" firstDataRow="2" firstDataCol="1" rowPageCount="1" colPageCount="1"/>
  <pivotFields count="44">
    <pivotField showAll="0"/>
    <pivotField showAll="0"/>
    <pivotField showAll="0">
      <items count="13">
        <item x="5"/>
        <item x="6"/>
        <item x="8"/>
        <item x="10"/>
        <item x="0"/>
        <item x="1"/>
        <item x="2"/>
        <item x="7"/>
        <item x="9"/>
        <item x="4"/>
        <item x="3"/>
        <item x="11"/>
        <item t="default"/>
      </items>
    </pivotField>
    <pivotField showAll="0">
      <items count="6">
        <item x="1"/>
        <item x="0"/>
        <item x="2"/>
        <item x="3"/>
        <item x="4"/>
        <item t="default"/>
      </items>
    </pivotField>
    <pivotField showAll="0"/>
    <pivotField axis="axisPage" multipleItemSelectionAllowed="1" showAll="0">
      <items count="4">
        <item x="0"/>
        <item x="1"/>
        <item x="2"/>
        <item t="default"/>
      </items>
    </pivotField>
    <pivotField axis="axisRow" defaultSubtotal="0">
      <items count="28">
        <item x="18"/>
        <item h="1" x="12"/>
        <item h="1" x="16"/>
        <item h="1" x="13"/>
        <item h="1" x="2"/>
        <item h="1" x="23"/>
        <item h="1" x="5"/>
        <item h="1" x="20"/>
        <item h="1" x="10"/>
        <item h="1" x="25"/>
        <item h="1" x="17"/>
        <item h="1" x="8"/>
        <item h="1" x="6"/>
        <item h="1" x="0"/>
        <item h="1" x="24"/>
        <item h="1" x="22"/>
        <item h="1" x="3"/>
        <item h="1" x="15"/>
        <item h="1" x="19"/>
        <item h="1" x="4"/>
        <item h="1" x="14"/>
        <item h="1" x="7"/>
        <item h="1" x="1"/>
        <item h="1" x="9"/>
        <item h="1" x="27"/>
        <item h="1" x="11"/>
        <item h="1" x="26"/>
        <item h="1" x="21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>
      <items count="5">
        <item x="1"/>
        <item x="2"/>
        <item x="0"/>
        <item h="1" x="3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pageFields count="1">
    <pageField fld="5" hier="-1"/>
  </pageFields>
  <dataFields count="1">
    <dataField name="Cuenta de Estado_Partido" fld="43" subtotal="count" baseField="5" baseItem="0" numFmtId="1"/>
  </dataFields>
  <formats count="3">
    <format dxfId="157">
      <pivotArea collapsedLevelsAreSubtotals="1" fieldPosition="0">
        <references count="1">
          <reference field="6" count="0"/>
        </references>
      </pivotArea>
    </format>
    <format dxfId="156">
      <pivotArea outline="0" fieldPosition="0">
        <references count="1">
          <reference field="4294967294" count="1">
            <x v="0"/>
          </reference>
        </references>
      </pivotArea>
    </format>
    <format dxfId="155">
      <pivotArea outline="0" collapsedLevelsAreSubtotals="1" fieldPosition="0"/>
    </format>
  </formats>
  <pivotTableStyleInfo name="PivotStyleDark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onente2" xr10:uid="{41412230-801C-4111-8936-189E78C10EE0}" sourceName="Oponente">
  <pivotTables>
    <pivotTable tabId="14" name="TablaDinámica14"/>
    <pivotTable tabId="33" name="TablaDinámica3"/>
    <pivotTable tabId="30" name="TablaDinámica13"/>
    <pivotTable tabId="16" name="Promedio_tiros"/>
    <pivotTable tabId="32" name="TablaDinámica17"/>
    <pivotTable tabId="31" name="TablaDinámica15"/>
    <pivotTable tabId="29" name="TablaDinámica8"/>
    <pivotTable tabId="34" name="TablaDinámica6"/>
    <pivotTable tabId="16" name="TablaDinámica2"/>
  </pivotTables>
  <data>
    <tabular pivotCacheId="692131814">
      <items count="28">
        <i x="18" s="1"/>
        <i x="12"/>
        <i x="16"/>
        <i x="13"/>
        <i x="2"/>
        <i x="26"/>
        <i x="23"/>
        <i x="5"/>
        <i x="20"/>
        <i x="10"/>
        <i x="25"/>
        <i x="17"/>
        <i x="8"/>
        <i x="6"/>
        <i x="11"/>
        <i x="0"/>
        <i x="24"/>
        <i x="22"/>
        <i x="3"/>
        <i x="15"/>
        <i x="19"/>
        <i x="4"/>
        <i x="14"/>
        <i x="7"/>
        <i x="1"/>
        <i x="9"/>
        <i x="21"/>
        <i x="2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ugar" xr10:uid="{0495021F-EF89-4259-B958-78CE23B847E0}" sourceName="Lugar">
  <pivotTables>
    <pivotTable tabId="14" name="TablaDinámica14"/>
    <pivotTable tabId="33" name="TablaDinámica3"/>
    <pivotTable tabId="30" name="TablaDinámica13"/>
    <pivotTable tabId="16" name="Promedio_tiros"/>
    <pivotTable tabId="32" name="TablaDinámica17"/>
    <pivotTable tabId="31" name="TablaDinámica15"/>
    <pivotTable tabId="29" name="TablaDinámica8"/>
    <pivotTable tabId="34" name="TablaDinámica6"/>
    <pivotTable tabId="16" name="TablaDinámica2"/>
  </pivotTables>
  <data>
    <tabular pivotCacheId="692131814" showMissing="0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B59E80BF-93AF-4A9C-B2D8-ED52C2044D42}" sourceName="Mes">
  <pivotTables>
    <pivotTable tabId="16" name="TablaDinámica2"/>
    <pivotTable tabId="31" name="TablaDinámica15"/>
    <pivotTable tabId="34" name="TablaDinámica6"/>
    <pivotTable tabId="14" name="TablaDinámica14"/>
    <pivotTable tabId="33" name="TablaDinámica3"/>
    <pivotTable tabId="32" name="TablaDinámica17"/>
    <pivotTable tabId="29" name="TablaDinámica8"/>
    <pivotTable tabId="16" name="Promedio_tiros"/>
    <pivotTable tabId="30" name="TablaDinámica13"/>
  </pivotTables>
  <data>
    <tabular pivotCacheId="692131814" showMissing="0">
      <items count="12">
        <i x="5" s="1"/>
        <i x="8" s="1"/>
        <i x="1" s="1"/>
        <i x="9" s="1"/>
        <i x="4" s="1"/>
        <i x="3" s="1"/>
        <i x="6" s="1" nd="1"/>
        <i x="10" s="1" nd="1"/>
        <i x="0" s="1" nd="1"/>
        <i x="2" s="1" nd="1"/>
        <i x="7" s="1" nd="1"/>
        <i x="1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ción" xr10:uid="{E3A2924C-0523-4D56-8F5D-80896BE38580}" sourceName="Estación">
  <pivotTables>
    <pivotTable tabId="16" name="Promedio_tiros"/>
    <pivotTable tabId="31" name="TablaDinámica15"/>
    <pivotTable tabId="34" name="TablaDinámica6"/>
    <pivotTable tabId="14" name="TablaDinámica14"/>
    <pivotTable tabId="33" name="TablaDinámica3"/>
    <pivotTable tabId="32" name="TablaDinámica17"/>
    <pivotTable tabId="29" name="TablaDinámica8"/>
    <pivotTable tabId="16" name="TablaDinámica2"/>
    <pivotTable tabId="30" name="TablaDinámica13"/>
  </pivotTables>
  <data>
    <tabular pivotCacheId="692131814">
      <items count="5">
        <i x="1" s="1"/>
        <i x="0" s="1"/>
        <i x="2" s="1"/>
        <i x="3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B7121419-D533-4333-9B51-6DB995D9F9AC}" sourceName="Año">
  <pivotTables>
    <pivotTable tabId="16" name="Promedio_tiros"/>
  </pivotTables>
  <data>
    <tabular pivotCacheId="692131814">
      <items count="7">
        <i x="1" s="1"/>
        <i x="2" s="1"/>
        <i x="3" s="1"/>
        <i x="4" s="1"/>
        <i x="0" s="1" nd="1"/>
        <i x="5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 3" xr10:uid="{E6A742E9-1419-47C2-8EA2-F4E0F902257E}" cache="SegmentaciónDeDatos_Oponente2" caption="Oponente" style="Estilo de segmentación de datos 2" rowHeight="234950"/>
  <slicer name="Lugar" xr10:uid="{1B6FC04F-B63A-44CC-9C2C-5725EA4E938D}" cache="SegmentaciónDeDatos_Lugar" caption="Lugar" style="Estilo de segmentación de datos 2" rowHeight="234950"/>
  <slicer name="Mes 1" xr10:uid="{4D0F45AB-E701-418C-85B1-7AAE18623ACB}" cache="SegmentaciónDeDatos_Mes" caption="Mes" style="Estilo de segmentación de datos 2" rowHeight="234950"/>
  <slicer name="Estación 1" xr10:uid="{49A674D6-2F2D-4EF5-8112-27920433593E}" cache="SegmentaciónDeDatos_Estación" caption="Estación" style="Estilo de segmentación de datos 2" rowHeight="234950"/>
  <slicer name="Año 1" xr10:uid="{FFC78BDF-5C65-4354-B407-179086B734F8}" cache="SegmentaciónDeDatos_Año" caption="Año" style="Estilo de segmentación de datos 2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 2" xr10:uid="{A1A78239-9B7B-4625-B8C2-101E50BFEFBD}" cache="SegmentaciónDeDatos_Oponente2" caption="Oponente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onente" xr10:uid="{B0838606-49EE-43D1-AEE7-3F7A408E0130}" cache="SegmentaciónDeDatos_Oponente2" caption="Oponente" startItem="10" rowHeight="234950"/>
  <slicer name="Mes" xr10:uid="{749ECB99-269A-4D25-B265-81057521F593}" cache="SegmentaciónDeDatos_Mes" caption="Mes" rowHeight="234950"/>
  <slicer name="Estación" xr10:uid="{53D17739-5322-49ED-B304-DB5A4C1B6780}" cache="SegmentaciónDeDatos_Estación" caption="Estación" rowHeight="234950"/>
  <slicer name="Año" xr10:uid="{2AF3E4EB-7BE4-4973-AF58-C27B7B435FA8}" cache="SegmentaciónDeDatos_Año" caption="Año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5547FD-39E1-4BF3-B180-0C4EC3FFB732}" name="Tabla1" displayName="Tabla1" ref="A1:AS177" totalsRowShown="0">
  <autoFilter ref="A1:AS177" xr:uid="{355547FD-39E1-4BF3-B180-0C4EC3FFB732}"/>
  <tableColumns count="45">
    <tableColumn id="2" xr3:uid="{7A6FC9FC-A8B9-4AEF-A48B-984C97164F7E}" name="Fecha"/>
    <tableColumn id="30" xr3:uid="{F6FCA231-8267-45A5-9CF8-E8E828EC9FA6}" name="Año" dataDxfId="62">
      <calculatedColumnFormula>VALUE(RIGHT(A2,4))</calculatedColumnFormula>
    </tableColumn>
    <tableColumn id="34" xr3:uid="{C56268D1-8088-4FF7-9032-B8952FB87A94}" name="Mes" dataDxfId="190">
      <calculatedColumnFormula>MID(A2,5,3)</calculatedColumnFormula>
    </tableColumn>
    <tableColumn id="35" xr3:uid="{AF824162-31FA-4F88-8AA8-968891EA145C}" name="Estación" dataDxfId="189">
      <calculatedColumnFormula array="1">_xlfn.IFS(OR(C2="Dec", C2="Jan", C2="Feb"), "Invierno", OR(C2="Mar", C2="Apr", C2="May"), "Primavera", OR(C2="Jun", C2="Jul", C2="Aug"), "Verano", OR(C2="Sep", C2="Oct", C2="Nov"), "Otoño")</calculatedColumnFormula>
    </tableColumn>
    <tableColumn id="3" xr3:uid="{32885D5F-67BB-4987-88B7-6A348B3BA146}" name="horario"/>
    <tableColumn id="4" xr3:uid="{AE8FE2EA-F9DA-4B0D-9825-EC20CA1A1606}" name="Lugar"/>
    <tableColumn id="6" xr3:uid="{0B88DB3C-1EE4-4B6B-86D8-0B16621BC13F}" name="Oponente"/>
    <tableColumn id="7" xr3:uid="{F9E70187-744C-4974-9143-63775BF54126}" name="Formacion"/>
    <tableColumn id="9" xr3:uid="{17A300F6-37BB-4718-966B-E6B07EEF10C8}" name="Resultado"/>
    <tableColumn id="10" xr3:uid="{96C2DA7C-A230-4D83-A949-9BE6D68D41A6}" name="total_tiros_local"/>
    <tableColumn id="11" xr3:uid="{6FBAF3D1-4241-4424-BB75-FE300A13BFFB}" name="total_tiros_visitante"/>
    <tableColumn id="46" xr3:uid="{E36F3A63-6863-4C54-B2BD-6F54DAD70DDE}" name="Tiros_Atalanta" dataDxfId="188">
      <calculatedColumnFormula>IF(F2 = "H", J2, IF(F2 = "A", K2))</calculatedColumnFormula>
    </tableColumn>
    <tableColumn id="45" xr3:uid="{75CE91D6-5438-4EF2-AFE3-7A50DFD72EF7}" name="Tiros_Oponente" dataDxfId="187">
      <calculatedColumnFormula>IF(F2 = "A", J2, IF(F2 = "H", K2))</calculatedColumnFormula>
    </tableColumn>
    <tableColumn id="12" xr3:uid="{8BC0EF46-88A3-4307-9E88-5D2A0D6CB7F1}" name="Tiros_puerta_local"/>
    <tableColumn id="13" xr3:uid="{B86083AB-08BE-4B80-A768-ACF840FF9391}" name="tiros_puerta_visitante"/>
    <tableColumn id="39" xr3:uid="{DE483E76-E90C-480F-8171-540476ABA232}" name="Tiros_puerta_Atalanta" dataDxfId="186">
      <calculatedColumnFormula>IF(F2 = "H", N2, IF(F2 = "A", O2,0))</calculatedColumnFormula>
    </tableColumn>
    <tableColumn id="40" xr3:uid="{F7307B9D-F355-4F03-BB98-D7A52A102644}" name="Tiros_puerta_visita" dataDxfId="185">
      <calculatedColumnFormula>IF(F2 = "A", N2, IF(F2 = "H", O2))</calculatedColumnFormula>
    </tableColumn>
    <tableColumn id="14" xr3:uid="{901080BF-7355-4D92-AA65-44446DDBB5A8}" name="Posesion_local"/>
    <tableColumn id="15" xr3:uid="{E59BD9AB-348F-4F69-98AF-17F28326E9D7}" name="Posesion_visitante"/>
    <tableColumn id="41" xr3:uid="{AB45D7A5-F8E2-4880-BC97-1B73E4332AEF}" name="Posesion_Atalanta" dataDxfId="184" dataCellStyle="Millares">
      <calculatedColumnFormula>IF(F2 = "H", R2, IF(F2 ="A", S2,0))</calculatedColumnFormula>
    </tableColumn>
    <tableColumn id="42" xr3:uid="{C1AD16B1-36B2-495B-AA15-634F12E05EA4}" name="Posesion_Oponente" dataDxfId="183">
      <calculatedColumnFormula>IF(F2 = "A", R2, IF(F2 = "H", S2))</calculatedColumnFormula>
    </tableColumn>
    <tableColumn id="16" xr3:uid="{1AA04300-3141-4172-802E-B02927F56EC4}" name="corner_local"/>
    <tableColumn id="17" xr3:uid="{FA1BB7BE-6FFD-4746-BBB7-98FDCEBF7774}" name="corner_visitante"/>
    <tableColumn id="18" xr3:uid="{4FE6B110-603B-44D2-A39A-A3C7693D4297}" name="faltas_local"/>
    <tableColumn id="19" xr3:uid="{F68F88BE-A303-4B3C-8E6F-65DDE598693B}" name="faltas_visitante"/>
    <tableColumn id="43" xr3:uid="{33AF1F8D-328E-4682-BC5A-2694E6424EB4}" name="Corners_Atalanta" dataDxfId="182">
      <calculatedColumnFormula>IF(F2 = "H", V2, IF(F2 = "A", W2))</calculatedColumnFormula>
    </tableColumn>
    <tableColumn id="44" xr3:uid="{B2916983-6748-4231-8D64-7B9CEB25B8A0}" name="Corners_Oponente" dataDxfId="181">
      <calculatedColumnFormula>IF(F2 = "A", V2, IF(F2 = "H", W2))</calculatedColumnFormula>
    </tableColumn>
    <tableColumn id="37" xr3:uid="{8A30EDF4-E374-4DBF-92AC-2E35348B3B1C}" name="Faltas_Atalanta" dataDxfId="180">
      <calculatedColumnFormula>IF(F2 = "H", X2, IF(F2= "A", Y2, 0))</calculatedColumnFormula>
    </tableColumn>
    <tableColumn id="38" xr3:uid="{1A993E24-211A-47C4-A40C-6C113A44BAE8}" name="Faltas_visitante2" dataDxfId="179">
      <calculatedColumnFormula>IF(F2 = "A", X2, IF(F2 = "H", Y2, 0))</calculatedColumnFormula>
    </tableColumn>
    <tableColumn id="20" xr3:uid="{7FEAAC95-3178-4B7C-8D6C-ECB287BBC036}" name="fuera_local"/>
    <tableColumn id="21" xr3:uid="{3439DA6E-BFA7-4FE6-B71C-DC82BC166F12}" name="fuera_visitante"/>
    <tableColumn id="22" xr3:uid="{CF54476B-E64C-43C7-8E03-3AE9DADBED24}" name="Arbitro"/>
    <tableColumn id="23" xr3:uid="{55A2BC1F-3FA7-43E3-BF17-4857524847D2}" name="Gol_local_primero"/>
    <tableColumn id="1" xr3:uid="{2FDE6420-8EBE-4B74-A344-35FA6A34FA1A}" name="Gol_Primero_Atalanta" dataDxfId="178">
      <calculatedColumnFormula>IF(F2 = "H", AG2, IF(F2 ="A", AJ2,0))</calculatedColumnFormula>
    </tableColumn>
    <tableColumn id="5" xr3:uid="{301F2987-D7F9-4BB1-B4E2-5DC2B8B0A6B2}" name="Gol_Primero_oponente" dataDxfId="177">
      <calculatedColumnFormula>IF(F2 = "A", AG2, IF(F2 ="H", AJ2,0))</calculatedColumnFormula>
    </tableColumn>
    <tableColumn id="24" xr3:uid="{CEA96F65-3795-478F-BCD1-E0248953855F}" name="Gol_visitante_primero"/>
    <tableColumn id="25" xr3:uid="{3EDE1ECA-1582-4E23-A765-8F617C869508}" name="Gol_local_segundo"/>
    <tableColumn id="28" xr3:uid="{BF938AB4-9C25-49A8-8FC0-8F77CCA96AAF}" name="Gol_Segundo_Atalanta" dataDxfId="176">
      <calculatedColumnFormula>IF(F2 ="H", AK2, IF(F2 ="A", AN2,0))</calculatedColumnFormula>
    </tableColumn>
    <tableColumn id="8" xr3:uid="{7E98ABDB-2CEF-44B3-A939-E6402B39660A}" name="Gol_Segundo_Oponente." dataDxfId="175">
      <calculatedColumnFormula>IF(F2="A", AK2,IF(F2 ="H", AN2,0))</calculatedColumnFormula>
    </tableColumn>
    <tableColumn id="26" xr3:uid="{8DF42E66-1C77-4056-BF47-6D8A71437EC7}" name="Gol_visitante_segundo"/>
    <tableColumn id="27" xr3:uid="{FFD73A8B-1FB2-4AC1-81EA-77743CBB8321}" name="Ranking_oponente"/>
    <tableColumn id="29" xr3:uid="{381B3AC3-E660-4879-9971-0F95BEE107F5}" name="Goles_Atalanta" dataDxfId="174">
      <calculatedColumnFormula>IF(F2="H", AG2+AK2, IF(F2="A", AJ2+AN2, 0))</calculatedColumnFormula>
    </tableColumn>
    <tableColumn id="31" xr3:uid="{DD97BDEA-07D3-41FB-B1E2-A1CAC6DD09F4}" name="Goles_Oponente" dataDxfId="173">
      <calculatedColumnFormula>IF(F2="A", AG2+AK2, IF(F2="H", AJ2+AN2, 0))</calculatedColumnFormula>
    </tableColumn>
    <tableColumn id="32" xr3:uid="{D75BB505-9C94-49F7-9AF4-5361A93A897C}" name="Estado_Partido" dataDxfId="172">
      <calculatedColumnFormula>IF(AP2&gt;AQ2,"Victoria",IF(AQ2&gt;AP2,"Derrota",IF(AQ2=AP2,"Empate")))</calculatedColumnFormula>
    </tableColumn>
    <tableColumn id="33" xr3:uid="{A35C0406-DE38-46C1-99E1-2886097BBEDB}" name="Estado_victoria_o_derrota" dataDxfId="171">
      <calculatedColumnFormula>IF(AP2&gt;AQ2,IF(AP2-AQ2&gt;1,"Victoria dominante","Victoria ajustada"),IF(AP2=AQ2,"Empate",IF(AP2-AQ2&lt;0,"Derrota ajustada","Derrota aplastante")))</calculatedColumnFormula>
    </tableColumn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122DAA-8E46-4D51-8F4D-0BB2E290DEC3}" name="Tabla3" displayName="Tabla3" ref="A1:D6" totalsRowShown="0">
  <autoFilter ref="A1:D6" xr:uid="{CB122DAA-8E46-4D51-8F4D-0BB2E290DEC3}"/>
  <tableColumns count="4">
    <tableColumn id="1" xr3:uid="{3455C5EC-82F8-4DD6-8E3B-62602B897144}" name="Nombre" dataDxfId="170"/>
    <tableColumn id="2" xr3:uid="{EB1C36BC-B53A-47FF-82EE-0FA0C0DF66AB}" name="Inicia" dataDxfId="169"/>
    <tableColumn id="3" xr3:uid="{E0141474-19A0-401C-942D-CC2B7B07E70E}" name="Función" dataDxfId="168"/>
    <tableColumn id="4" xr3:uid="{7F0B9FD6-843A-48E0-8EC1-220C01EE204D}" name="Hoja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177"/>
  <sheetViews>
    <sheetView showGridLines="0" workbookViewId="0">
      <selection activeCell="D179" sqref="D179"/>
    </sheetView>
  </sheetViews>
  <sheetFormatPr baseColWidth="10" defaultColWidth="8.88671875" defaultRowHeight="14.4" x14ac:dyDescent="0.3"/>
  <cols>
    <col min="1" max="4" width="10" customWidth="1"/>
    <col min="5" max="5" width="9.21875" customWidth="1"/>
    <col min="7" max="7" width="11.6640625" customWidth="1"/>
    <col min="8" max="8" width="12" customWidth="1"/>
    <col min="9" max="9" width="11.5546875" customWidth="1"/>
    <col min="10" max="10" width="16.77734375" customWidth="1"/>
    <col min="11" max="13" width="20.33203125" customWidth="1"/>
    <col min="14" max="14" width="18.77734375" customWidth="1"/>
    <col min="15" max="17" width="22" customWidth="1"/>
    <col min="18" max="18" width="15.6640625" customWidth="1"/>
    <col min="19" max="19" width="19.21875" customWidth="1"/>
    <col min="20" max="20" width="19.21875" style="10" customWidth="1"/>
    <col min="21" max="21" width="19.21875" customWidth="1"/>
    <col min="22" max="22" width="13.44140625" customWidth="1"/>
    <col min="23" max="23" width="17" customWidth="1"/>
    <col min="24" max="24" width="12.6640625" customWidth="1"/>
    <col min="25" max="29" width="16.109375" customWidth="1"/>
    <col min="30" max="30" width="12.5546875" customWidth="1"/>
    <col min="31" max="31" width="16" customWidth="1"/>
    <col min="32" max="32" width="9" customWidth="1"/>
    <col min="33" max="33" width="18.77734375" hidden="1" customWidth="1"/>
    <col min="34" max="35" width="22.21875" customWidth="1"/>
    <col min="36" max="36" width="19.21875" hidden="1" customWidth="1"/>
    <col min="37" max="37" width="22.6640625" hidden="1" customWidth="1"/>
    <col min="38" max="39" width="22.6640625" customWidth="1"/>
    <col min="40" max="40" width="19.21875" customWidth="1"/>
    <col min="41" max="41" width="11.21875" customWidth="1"/>
    <col min="45" max="45" width="16.6640625" customWidth="1"/>
    <col min="46" max="46" width="15.5546875" customWidth="1"/>
  </cols>
  <sheetData>
    <row r="1" spans="1:45" x14ac:dyDescent="0.3">
      <c r="A1" t="s">
        <v>342</v>
      </c>
      <c r="B1" t="s">
        <v>403</v>
      </c>
      <c r="C1" t="s">
        <v>382</v>
      </c>
      <c r="D1" t="s">
        <v>343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364</v>
      </c>
      <c r="M1" t="s">
        <v>365</v>
      </c>
      <c r="N1" t="s">
        <v>7</v>
      </c>
      <c r="O1" t="s">
        <v>8</v>
      </c>
      <c r="P1" t="s">
        <v>348</v>
      </c>
      <c r="Q1" t="s">
        <v>349</v>
      </c>
      <c r="R1" t="s">
        <v>354</v>
      </c>
      <c r="S1" t="s">
        <v>353</v>
      </c>
      <c r="T1" s="10" t="s">
        <v>355</v>
      </c>
      <c r="U1" t="s">
        <v>356</v>
      </c>
      <c r="V1" t="s">
        <v>9</v>
      </c>
      <c r="W1" t="s">
        <v>10</v>
      </c>
      <c r="X1" t="s">
        <v>11</v>
      </c>
      <c r="Y1" t="s">
        <v>12</v>
      </c>
      <c r="Z1" t="s">
        <v>360</v>
      </c>
      <c r="AA1" t="s">
        <v>361</v>
      </c>
      <c r="AB1" t="s">
        <v>345</v>
      </c>
      <c r="AC1" t="s">
        <v>346</v>
      </c>
      <c r="AD1" t="s">
        <v>13</v>
      </c>
      <c r="AE1" t="s">
        <v>14</v>
      </c>
      <c r="AF1" t="s">
        <v>15</v>
      </c>
      <c r="AG1" t="s">
        <v>16</v>
      </c>
      <c r="AH1" t="s">
        <v>375</v>
      </c>
      <c r="AI1" t="s">
        <v>383</v>
      </c>
      <c r="AJ1" t="s">
        <v>17</v>
      </c>
      <c r="AK1" t="s">
        <v>18</v>
      </c>
      <c r="AL1" t="s">
        <v>376</v>
      </c>
      <c r="AM1" t="s">
        <v>377</v>
      </c>
      <c r="AN1" t="s">
        <v>19</v>
      </c>
      <c r="AO1" t="s">
        <v>20</v>
      </c>
      <c r="AP1" t="s">
        <v>335</v>
      </c>
      <c r="AQ1" t="s">
        <v>358</v>
      </c>
      <c r="AR1" t="s">
        <v>336</v>
      </c>
      <c r="AS1" t="s">
        <v>391</v>
      </c>
    </row>
    <row r="2" spans="1:45" x14ac:dyDescent="0.3">
      <c r="A2" t="s">
        <v>21</v>
      </c>
      <c r="B2">
        <f t="shared" ref="B2:B33" si="0">VALUE(RIGHT(A2,4))</f>
        <v>2020</v>
      </c>
      <c r="C2" t="str">
        <f t="shared" ref="C2:C33" si="1">MID(A2,5,3)</f>
        <v>Sep</v>
      </c>
      <c r="D2" t="str" cm="1">
        <f t="array" ref="D2">_xlfn.IFS(OR(C2="Dec", C2="Jan", C2="Feb"), "Invierno", OR(C2="Mar", C2="Apr", C2="May"), "Primavera", OR(C2="Jun", C2="Jul", C2="Aug"), "Verano", OR(C2="Sep", C2="Oct", C2="Nov"), "Otoño")</f>
        <v>Otoño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>
        <v>14</v>
      </c>
      <c r="K2">
        <v>10</v>
      </c>
      <c r="L2">
        <f t="shared" ref="L2:L33" si="2">IF(F2 = "H", J2, IF(F2 = "A", K2))</f>
        <v>10</v>
      </c>
      <c r="M2">
        <f t="shared" ref="M2:M33" si="3">IF(F2 = "A", J2, IF(F2 = "H", K2))</f>
        <v>14</v>
      </c>
      <c r="N2">
        <v>5</v>
      </c>
      <c r="O2">
        <v>1</v>
      </c>
      <c r="P2">
        <f t="shared" ref="P2:P33" si="4">IF(F2 = "H", N2, IF(F2 = "A", O2,0))</f>
        <v>1</v>
      </c>
      <c r="Q2">
        <f t="shared" ref="Q2:Q33" si="5">IF(F2 = "A", N2, IF(F2 = "H", O2))</f>
        <v>5</v>
      </c>
      <c r="R2">
        <v>61</v>
      </c>
      <c r="S2">
        <v>39</v>
      </c>
      <c r="T2" s="10">
        <f t="shared" ref="T2:T33" si="6">IF(F2 = "H", R2, IF(F2 ="A", S2,0))</f>
        <v>39</v>
      </c>
      <c r="U2">
        <f t="shared" ref="U2:U33" si="7">IF(F2 = "A", R2, IF(F2 = "H", S2))</f>
        <v>61</v>
      </c>
      <c r="V2">
        <v>7</v>
      </c>
      <c r="W2">
        <v>3</v>
      </c>
      <c r="X2">
        <v>16</v>
      </c>
      <c r="Y2">
        <v>11</v>
      </c>
      <c r="Z2">
        <f>IF(F2 = "H", V2, IF(F2 = "A", W2))</f>
        <v>3</v>
      </c>
      <c r="AA2">
        <f>IF(F2 = "A", V2, IF(F2 = "H", W2))</f>
        <v>7</v>
      </c>
      <c r="AB2">
        <f t="shared" ref="AB2:AB33" si="8">IF(F2 = "H", X2, IF(F2= "A", Y2, 0))</f>
        <v>11</v>
      </c>
      <c r="AC2">
        <f t="shared" ref="AC2:AC33" si="9">IF(F2 = "A", X2, IF(F2 = "H", Y2, 0))</f>
        <v>16</v>
      </c>
      <c r="AD2">
        <v>0</v>
      </c>
      <c r="AE2">
        <v>0</v>
      </c>
      <c r="AF2" t="s">
        <v>27</v>
      </c>
      <c r="AG2">
        <v>0</v>
      </c>
      <c r="AH2">
        <f t="shared" ref="AH2:AH33" si="10">IF(F2 = "H", AG2, IF(F2 ="A", AJ2,0))</f>
        <v>3</v>
      </c>
      <c r="AI2">
        <f t="shared" ref="AI2:AI33" si="11">IF(F2 = "A", AG2, IF(F2 ="H", AJ2,0))</f>
        <v>0</v>
      </c>
      <c r="AJ2">
        <v>3</v>
      </c>
      <c r="AK2">
        <v>1</v>
      </c>
      <c r="AL2">
        <f t="shared" ref="AL2:AL33" si="12">IF(F2 ="H", AK2, IF(F2 ="A", AN2,0))</f>
        <v>1</v>
      </c>
      <c r="AM2">
        <f t="shared" ref="AM2:AM33" si="13">IF(F2="A", AK2,IF(F2 ="H", AN2,0))</f>
        <v>1</v>
      </c>
      <c r="AN2">
        <v>1</v>
      </c>
      <c r="AO2" t="s">
        <v>28</v>
      </c>
      <c r="AP2">
        <f>IF(F2="H", AG2+AK2, IF(F2="A", AJ2+AN2, 0))</f>
        <v>4</v>
      </c>
      <c r="AQ2">
        <f>IF(F2="A", AG2+AK2, IF(F2="H", AJ2+AN2, 0))</f>
        <v>1</v>
      </c>
      <c r="AR2" t="str">
        <f>IF(AP2&gt;AQ2,"Victoria",IF(AQ2&gt;AP2,"Derrota",IF(AQ2=AP2,"Empate")))</f>
        <v>Victoria</v>
      </c>
      <c r="AS2" s="3" t="str">
        <f t="shared" ref="AS2:AS33" si="14">IF(AP2&gt;AQ2,IF(AP2-AQ2&gt;1,"Victoria dominante","Victoria ajustada"),IF(AP2=AQ2,"Empate",IF(AP2-AQ2&lt;0,"Derrota ajustada","Derrota aplastante")))</f>
        <v>Victoria dominante</v>
      </c>
    </row>
    <row r="3" spans="1:45" x14ac:dyDescent="0.3">
      <c r="A3" t="s">
        <v>29</v>
      </c>
      <c r="B3">
        <f>VALUE(RIGHT(A3,4))</f>
        <v>2020</v>
      </c>
      <c r="C3" t="str">
        <f t="shared" si="1"/>
        <v>Sep</v>
      </c>
      <c r="D3" t="str" cm="1">
        <f t="array" ref="D3">_xlfn.IFS(OR(C3="Dec", C3="Jan", C3="Feb"), "Invierno", OR(C3="Mar", C3="Apr", C3="May"), "Primavera", OR(C3="Jun", C3="Jul", C3="Aug"), "Verano", OR(C3="Sep", C3="Oct", C3="Nov"), "Otoño")</f>
        <v>Otoño</v>
      </c>
      <c r="E3" t="s">
        <v>30</v>
      </c>
      <c r="F3" t="s">
        <v>23</v>
      </c>
      <c r="G3" t="s">
        <v>31</v>
      </c>
      <c r="H3" t="s">
        <v>32</v>
      </c>
      <c r="I3" t="s">
        <v>33</v>
      </c>
      <c r="J3">
        <v>7</v>
      </c>
      <c r="K3">
        <v>19</v>
      </c>
      <c r="L3">
        <f t="shared" si="2"/>
        <v>19</v>
      </c>
      <c r="M3">
        <f t="shared" si="3"/>
        <v>7</v>
      </c>
      <c r="N3">
        <v>1</v>
      </c>
      <c r="O3">
        <v>8</v>
      </c>
      <c r="P3">
        <f t="shared" si="4"/>
        <v>8</v>
      </c>
      <c r="Q3">
        <f t="shared" si="5"/>
        <v>1</v>
      </c>
      <c r="R3">
        <v>44</v>
      </c>
      <c r="S3">
        <v>56</v>
      </c>
      <c r="T3" s="10">
        <f t="shared" si="6"/>
        <v>56</v>
      </c>
      <c r="U3">
        <f t="shared" si="7"/>
        <v>44</v>
      </c>
      <c r="V3">
        <v>2</v>
      </c>
      <c r="W3">
        <v>6</v>
      </c>
      <c r="X3">
        <v>11</v>
      </c>
      <c r="Y3">
        <v>12</v>
      </c>
      <c r="Z3">
        <f t="shared" ref="Z3:Z33" si="15">IF(F3 = "H", V3, IF(F3 = "A", W3))</f>
        <v>6</v>
      </c>
      <c r="AA3">
        <f t="shared" ref="AA3:AA33" si="16">IF(F3 = "A", V3, IF(F3 = "H", W3))</f>
        <v>2</v>
      </c>
      <c r="AB3">
        <f t="shared" si="8"/>
        <v>12</v>
      </c>
      <c r="AC3">
        <f t="shared" si="9"/>
        <v>11</v>
      </c>
      <c r="AD3">
        <v>2</v>
      </c>
      <c r="AE3">
        <v>2</v>
      </c>
      <c r="AF3" t="s">
        <v>34</v>
      </c>
      <c r="AG3">
        <v>2</v>
      </c>
      <c r="AH3">
        <f t="shared" si="10"/>
        <v>3</v>
      </c>
      <c r="AI3">
        <f t="shared" si="11"/>
        <v>2</v>
      </c>
      <c r="AJ3">
        <v>3</v>
      </c>
      <c r="AK3">
        <v>0</v>
      </c>
      <c r="AL3">
        <f t="shared" si="12"/>
        <v>1</v>
      </c>
      <c r="AM3">
        <f t="shared" si="13"/>
        <v>0</v>
      </c>
      <c r="AN3">
        <v>1</v>
      </c>
      <c r="AO3" t="s">
        <v>35</v>
      </c>
      <c r="AP3">
        <f t="shared" ref="AP3:AP33" si="17">IF(F3="H", AG3+AK3, IF(F3="A", AJ3+AN3, 0))</f>
        <v>4</v>
      </c>
      <c r="AQ3">
        <f t="shared" ref="AQ3:AQ33" si="18">IF(F3="A", AG3+AK3, IF(F3="H", AJ3+AN3, 0))</f>
        <v>2</v>
      </c>
      <c r="AR3" t="str">
        <f t="shared" ref="AR3:AR33" si="19">IF(AP3&gt;AQ3,"Victoria",IF(AQ3&gt;AP3,"Derrota",IF(AQ3=AP3,"Empate")))</f>
        <v>Victoria</v>
      </c>
      <c r="AS3" s="3" t="str">
        <f t="shared" si="14"/>
        <v>Victoria dominante</v>
      </c>
    </row>
    <row r="4" spans="1:45" x14ac:dyDescent="0.3">
      <c r="A4" t="s">
        <v>36</v>
      </c>
      <c r="B4">
        <f t="shared" si="0"/>
        <v>2020</v>
      </c>
      <c r="C4" t="str">
        <f t="shared" si="1"/>
        <v>Oct</v>
      </c>
      <c r="D4" t="str" cm="1">
        <f t="array" ref="D4">_xlfn.IFS(OR(C4="Dec", C4="Jan", C4="Feb"), "Invierno", OR(C4="Mar", C4="Apr", C4="May"), "Primavera", OR(C4="Jun", C4="Jul", C4="Aug"), "Verano", OR(C4="Sep", C4="Oct", C4="Nov"), "Otoño")</f>
        <v>Otoño</v>
      </c>
      <c r="E4" t="s">
        <v>37</v>
      </c>
      <c r="F4" t="s">
        <v>38</v>
      </c>
      <c r="G4" t="s">
        <v>39</v>
      </c>
      <c r="H4" t="s">
        <v>32</v>
      </c>
      <c r="I4" t="s">
        <v>40</v>
      </c>
      <c r="J4">
        <v>21</v>
      </c>
      <c r="K4">
        <v>12</v>
      </c>
      <c r="L4">
        <f t="shared" si="2"/>
        <v>21</v>
      </c>
      <c r="M4">
        <f t="shared" si="3"/>
        <v>12</v>
      </c>
      <c r="N4">
        <v>5</v>
      </c>
      <c r="O4">
        <v>4</v>
      </c>
      <c r="P4">
        <f t="shared" si="4"/>
        <v>5</v>
      </c>
      <c r="Q4">
        <f t="shared" si="5"/>
        <v>4</v>
      </c>
      <c r="R4">
        <v>59</v>
      </c>
      <c r="S4">
        <v>41</v>
      </c>
      <c r="T4" s="10">
        <f t="shared" si="6"/>
        <v>59</v>
      </c>
      <c r="U4">
        <f t="shared" si="7"/>
        <v>41</v>
      </c>
      <c r="V4">
        <v>3</v>
      </c>
      <c r="W4">
        <v>9</v>
      </c>
      <c r="X4">
        <v>11</v>
      </c>
      <c r="Y4">
        <v>9</v>
      </c>
      <c r="Z4">
        <f t="shared" si="15"/>
        <v>3</v>
      </c>
      <c r="AA4">
        <f t="shared" si="16"/>
        <v>9</v>
      </c>
      <c r="AB4">
        <f t="shared" si="8"/>
        <v>11</v>
      </c>
      <c r="AC4">
        <f t="shared" si="9"/>
        <v>9</v>
      </c>
      <c r="AD4">
        <v>2</v>
      </c>
      <c r="AE4">
        <v>0</v>
      </c>
      <c r="AF4" t="s">
        <v>41</v>
      </c>
      <c r="AG4">
        <v>4</v>
      </c>
      <c r="AH4">
        <f t="shared" si="10"/>
        <v>4</v>
      </c>
      <c r="AI4">
        <f t="shared" si="11"/>
        <v>1</v>
      </c>
      <c r="AJ4">
        <v>1</v>
      </c>
      <c r="AK4">
        <v>1</v>
      </c>
      <c r="AL4">
        <f t="shared" si="12"/>
        <v>1</v>
      </c>
      <c r="AM4">
        <f t="shared" si="13"/>
        <v>1</v>
      </c>
      <c r="AN4">
        <v>1</v>
      </c>
      <c r="AO4" t="s">
        <v>42</v>
      </c>
      <c r="AP4">
        <f t="shared" si="17"/>
        <v>5</v>
      </c>
      <c r="AQ4">
        <f t="shared" si="18"/>
        <v>2</v>
      </c>
      <c r="AR4" t="str">
        <f t="shared" si="19"/>
        <v>Victoria</v>
      </c>
      <c r="AS4" s="3" t="str">
        <f t="shared" si="14"/>
        <v>Victoria dominante</v>
      </c>
    </row>
    <row r="5" spans="1:45" x14ac:dyDescent="0.3">
      <c r="A5" t="s">
        <v>43</v>
      </c>
      <c r="B5">
        <f t="shared" si="0"/>
        <v>2020</v>
      </c>
      <c r="C5" t="str">
        <f t="shared" si="1"/>
        <v>Oct</v>
      </c>
      <c r="D5" t="str" cm="1">
        <f t="array" ref="D5">_xlfn.IFS(OR(C5="Dec", C5="Jan", C5="Feb"), "Invierno", OR(C5="Mar", C5="Apr", C5="May"), "Primavera", OR(C5="Jun", C5="Jul", C5="Aug"), "Verano", OR(C5="Sep", C5="Oct", C5="Nov"), "Otoño")</f>
        <v>Otoño</v>
      </c>
      <c r="E5" t="s">
        <v>30</v>
      </c>
      <c r="F5" t="s">
        <v>23</v>
      </c>
      <c r="G5" t="s">
        <v>44</v>
      </c>
      <c r="H5" t="s">
        <v>32</v>
      </c>
      <c r="I5" t="s">
        <v>45</v>
      </c>
      <c r="J5">
        <v>19</v>
      </c>
      <c r="K5">
        <v>13</v>
      </c>
      <c r="L5">
        <f t="shared" si="2"/>
        <v>13</v>
      </c>
      <c r="M5">
        <f t="shared" si="3"/>
        <v>19</v>
      </c>
      <c r="N5">
        <v>4</v>
      </c>
      <c r="O5">
        <v>8</v>
      </c>
      <c r="P5">
        <f t="shared" si="4"/>
        <v>8</v>
      </c>
      <c r="Q5">
        <f t="shared" si="5"/>
        <v>4</v>
      </c>
      <c r="R5">
        <v>49</v>
      </c>
      <c r="S5">
        <v>51</v>
      </c>
      <c r="T5" s="10">
        <f t="shared" si="6"/>
        <v>51</v>
      </c>
      <c r="U5">
        <f t="shared" si="7"/>
        <v>49</v>
      </c>
      <c r="V5">
        <v>6</v>
      </c>
      <c r="W5">
        <v>2</v>
      </c>
      <c r="X5">
        <v>12</v>
      </c>
      <c r="Y5">
        <v>23</v>
      </c>
      <c r="Z5">
        <f t="shared" si="15"/>
        <v>2</v>
      </c>
      <c r="AA5">
        <f t="shared" si="16"/>
        <v>6</v>
      </c>
      <c r="AB5">
        <f t="shared" si="8"/>
        <v>23</v>
      </c>
      <c r="AC5">
        <f t="shared" si="9"/>
        <v>12</v>
      </c>
      <c r="AD5">
        <v>1</v>
      </c>
      <c r="AE5">
        <v>1</v>
      </c>
      <c r="AF5" t="s">
        <v>46</v>
      </c>
      <c r="AG5">
        <v>4</v>
      </c>
      <c r="AH5">
        <f t="shared" si="10"/>
        <v>0</v>
      </c>
      <c r="AI5">
        <f t="shared" si="11"/>
        <v>4</v>
      </c>
      <c r="AJ5">
        <v>0</v>
      </c>
      <c r="AK5">
        <v>0</v>
      </c>
      <c r="AL5">
        <f t="shared" si="12"/>
        <v>1</v>
      </c>
      <c r="AM5">
        <f t="shared" si="13"/>
        <v>0</v>
      </c>
      <c r="AN5">
        <v>1</v>
      </c>
      <c r="AO5" t="s">
        <v>28</v>
      </c>
      <c r="AP5">
        <f t="shared" si="17"/>
        <v>1</v>
      </c>
      <c r="AQ5">
        <f t="shared" si="18"/>
        <v>4</v>
      </c>
      <c r="AR5" t="str">
        <f t="shared" si="19"/>
        <v>Derrota</v>
      </c>
      <c r="AS5" s="3" t="str">
        <f t="shared" si="14"/>
        <v>Derrota ajustada</v>
      </c>
    </row>
    <row r="6" spans="1:45" x14ac:dyDescent="0.3">
      <c r="A6" t="s">
        <v>47</v>
      </c>
      <c r="B6">
        <f t="shared" si="0"/>
        <v>2020</v>
      </c>
      <c r="C6" t="str">
        <f t="shared" si="1"/>
        <v>Oct</v>
      </c>
      <c r="D6" t="str" cm="1">
        <f t="array" ref="D6">_xlfn.IFS(OR(C6="Dec", C6="Jan", C6="Feb"), "Invierno", OR(C6="Mar", C6="Apr", C6="May"), "Primavera", OR(C6="Jun", C6="Jul", C6="Aug"), "Verano", OR(C6="Sep", C6="Oct", C6="Nov"), "Otoño")</f>
        <v>Otoño</v>
      </c>
      <c r="E6" t="s">
        <v>30</v>
      </c>
      <c r="F6" t="s">
        <v>38</v>
      </c>
      <c r="G6" t="s">
        <v>48</v>
      </c>
      <c r="H6" t="s">
        <v>32</v>
      </c>
      <c r="I6" t="s">
        <v>49</v>
      </c>
      <c r="J6">
        <v>20</v>
      </c>
      <c r="K6">
        <v>7</v>
      </c>
      <c r="L6">
        <f t="shared" si="2"/>
        <v>20</v>
      </c>
      <c r="M6">
        <f t="shared" si="3"/>
        <v>7</v>
      </c>
      <c r="N6">
        <v>7</v>
      </c>
      <c r="O6">
        <v>1</v>
      </c>
      <c r="P6">
        <f t="shared" si="4"/>
        <v>7</v>
      </c>
      <c r="Q6">
        <f t="shared" si="5"/>
        <v>1</v>
      </c>
      <c r="R6">
        <v>66</v>
      </c>
      <c r="S6">
        <v>34</v>
      </c>
      <c r="T6" s="10">
        <f t="shared" si="6"/>
        <v>66</v>
      </c>
      <c r="U6">
        <f t="shared" si="7"/>
        <v>34</v>
      </c>
      <c r="V6">
        <v>3</v>
      </c>
      <c r="W6">
        <v>1</v>
      </c>
      <c r="X6">
        <v>12</v>
      </c>
      <c r="Y6">
        <v>19</v>
      </c>
      <c r="Z6">
        <f t="shared" si="15"/>
        <v>3</v>
      </c>
      <c r="AA6">
        <f t="shared" si="16"/>
        <v>1</v>
      </c>
      <c r="AB6">
        <f t="shared" si="8"/>
        <v>12</v>
      </c>
      <c r="AC6">
        <f t="shared" si="9"/>
        <v>19</v>
      </c>
      <c r="AD6">
        <v>1</v>
      </c>
      <c r="AE6">
        <v>0</v>
      </c>
      <c r="AF6" t="s">
        <v>50</v>
      </c>
      <c r="AG6">
        <v>0</v>
      </c>
      <c r="AH6">
        <f t="shared" si="10"/>
        <v>0</v>
      </c>
      <c r="AI6">
        <f t="shared" si="11"/>
        <v>1</v>
      </c>
      <c r="AJ6">
        <v>1</v>
      </c>
      <c r="AK6">
        <v>1</v>
      </c>
      <c r="AL6">
        <f t="shared" si="12"/>
        <v>1</v>
      </c>
      <c r="AM6">
        <v>2</v>
      </c>
      <c r="AN6">
        <v>2</v>
      </c>
      <c r="AO6" t="s">
        <v>51</v>
      </c>
      <c r="AP6">
        <f t="shared" si="17"/>
        <v>1</v>
      </c>
      <c r="AQ6">
        <f t="shared" si="18"/>
        <v>3</v>
      </c>
      <c r="AR6" t="str">
        <f t="shared" si="19"/>
        <v>Derrota</v>
      </c>
      <c r="AS6" s="3" t="str">
        <f t="shared" si="14"/>
        <v>Derrota ajustada</v>
      </c>
    </row>
    <row r="7" spans="1:45" x14ac:dyDescent="0.3">
      <c r="A7" t="s">
        <v>52</v>
      </c>
      <c r="B7">
        <f t="shared" si="0"/>
        <v>2020</v>
      </c>
      <c r="C7" t="str">
        <f t="shared" si="1"/>
        <v>Oct</v>
      </c>
      <c r="D7" t="str" cm="1">
        <f t="array" ref="D7">_xlfn.IFS(OR(C7="Dec", C7="Jan", C7="Feb"), "Invierno", OR(C7="Mar", C7="Apr", C7="May"), "Primavera", OR(C7="Jun", C7="Jul", C7="Aug"), "Verano", OR(C7="Sep", C7="Oct", C7="Nov"), "Otoño")</f>
        <v>Otoño</v>
      </c>
      <c r="E7" t="s">
        <v>30</v>
      </c>
      <c r="F7" t="s">
        <v>23</v>
      </c>
      <c r="G7" t="s">
        <v>53</v>
      </c>
      <c r="H7" t="s">
        <v>25</v>
      </c>
      <c r="I7" t="s">
        <v>54</v>
      </c>
      <c r="J7">
        <v>6</v>
      </c>
      <c r="K7">
        <v>19</v>
      </c>
      <c r="L7">
        <f t="shared" si="2"/>
        <v>19</v>
      </c>
      <c r="M7">
        <f t="shared" si="3"/>
        <v>6</v>
      </c>
      <c r="N7">
        <v>3</v>
      </c>
      <c r="O7">
        <v>11</v>
      </c>
      <c r="P7">
        <f t="shared" si="4"/>
        <v>11</v>
      </c>
      <c r="Q7">
        <f t="shared" si="5"/>
        <v>3</v>
      </c>
      <c r="R7">
        <v>41</v>
      </c>
      <c r="S7">
        <v>59</v>
      </c>
      <c r="T7" s="10">
        <f t="shared" si="6"/>
        <v>59</v>
      </c>
      <c r="U7">
        <f t="shared" si="7"/>
        <v>41</v>
      </c>
      <c r="V7">
        <v>1</v>
      </c>
      <c r="W7">
        <v>3</v>
      </c>
      <c r="X7">
        <v>11</v>
      </c>
      <c r="Y7">
        <v>22</v>
      </c>
      <c r="Z7">
        <f t="shared" si="15"/>
        <v>3</v>
      </c>
      <c r="AA7">
        <f t="shared" si="16"/>
        <v>1</v>
      </c>
      <c r="AB7">
        <f t="shared" si="8"/>
        <v>22</v>
      </c>
      <c r="AC7">
        <f t="shared" si="9"/>
        <v>11</v>
      </c>
      <c r="AD7">
        <v>2</v>
      </c>
      <c r="AE7">
        <v>1</v>
      </c>
      <c r="AF7" t="s">
        <v>55</v>
      </c>
      <c r="AG7">
        <v>1</v>
      </c>
      <c r="AH7">
        <f t="shared" si="10"/>
        <v>2</v>
      </c>
      <c r="AI7">
        <f t="shared" si="11"/>
        <v>1</v>
      </c>
      <c r="AJ7">
        <v>2</v>
      </c>
      <c r="AK7">
        <v>0</v>
      </c>
      <c r="AL7">
        <f t="shared" si="12"/>
        <v>0</v>
      </c>
      <c r="AM7">
        <f t="shared" si="13"/>
        <v>0</v>
      </c>
      <c r="AN7">
        <v>0</v>
      </c>
      <c r="AO7" t="s">
        <v>56</v>
      </c>
      <c r="AP7">
        <f t="shared" si="17"/>
        <v>2</v>
      </c>
      <c r="AQ7">
        <f t="shared" si="18"/>
        <v>1</v>
      </c>
      <c r="AR7" t="str">
        <f t="shared" si="19"/>
        <v>Victoria</v>
      </c>
      <c r="AS7" s="3" t="str">
        <f t="shared" si="14"/>
        <v>Victoria ajustada</v>
      </c>
    </row>
    <row r="8" spans="1:45" x14ac:dyDescent="0.3">
      <c r="A8" t="s">
        <v>57</v>
      </c>
      <c r="B8">
        <f t="shared" si="0"/>
        <v>2020</v>
      </c>
      <c r="C8" t="str">
        <f t="shared" si="1"/>
        <v>Nov</v>
      </c>
      <c r="D8" t="str" cm="1">
        <f t="array" ref="D8">_xlfn.IFS(OR(C8="Dec", C8="Jan", C8="Feb"), "Invierno", OR(C8="Mar", C8="Apr", C8="May"), "Primavera", OR(C8="Jun", C8="Jul", C8="Aug"), "Verano", OR(C8="Sep", C8="Oct", C8="Nov"), "Otoño")</f>
        <v>Otoño</v>
      </c>
      <c r="E8" t="s">
        <v>30</v>
      </c>
      <c r="F8" t="s">
        <v>38</v>
      </c>
      <c r="G8" t="s">
        <v>58</v>
      </c>
      <c r="H8" t="s">
        <v>25</v>
      </c>
      <c r="I8" t="s">
        <v>59</v>
      </c>
      <c r="J8">
        <v>9</v>
      </c>
      <c r="K8">
        <v>10</v>
      </c>
      <c r="L8">
        <f t="shared" si="2"/>
        <v>9</v>
      </c>
      <c r="M8">
        <f t="shared" si="3"/>
        <v>10</v>
      </c>
      <c r="N8">
        <v>4</v>
      </c>
      <c r="O8">
        <v>5</v>
      </c>
      <c r="P8">
        <f t="shared" si="4"/>
        <v>4</v>
      </c>
      <c r="Q8">
        <f t="shared" si="5"/>
        <v>5</v>
      </c>
      <c r="R8">
        <v>53</v>
      </c>
      <c r="S8">
        <v>47</v>
      </c>
      <c r="T8" s="10">
        <f t="shared" si="6"/>
        <v>53</v>
      </c>
      <c r="U8">
        <f t="shared" si="7"/>
        <v>47</v>
      </c>
      <c r="V8">
        <v>2</v>
      </c>
      <c r="W8">
        <v>5</v>
      </c>
      <c r="X8">
        <v>15</v>
      </c>
      <c r="Y8">
        <v>13</v>
      </c>
      <c r="Z8">
        <f t="shared" si="15"/>
        <v>2</v>
      </c>
      <c r="AA8">
        <f t="shared" si="16"/>
        <v>5</v>
      </c>
      <c r="AB8">
        <f t="shared" si="8"/>
        <v>15</v>
      </c>
      <c r="AC8">
        <f t="shared" si="9"/>
        <v>13</v>
      </c>
      <c r="AD8">
        <v>1</v>
      </c>
      <c r="AE8">
        <v>0</v>
      </c>
      <c r="AF8" t="s">
        <v>60</v>
      </c>
      <c r="AG8">
        <v>1</v>
      </c>
      <c r="AH8">
        <f t="shared" si="10"/>
        <v>1</v>
      </c>
      <c r="AI8">
        <f t="shared" si="11"/>
        <v>1</v>
      </c>
      <c r="AJ8">
        <v>1</v>
      </c>
      <c r="AK8">
        <v>0</v>
      </c>
      <c r="AL8">
        <f t="shared" si="12"/>
        <v>0</v>
      </c>
      <c r="AM8">
        <f t="shared" si="13"/>
        <v>0</v>
      </c>
      <c r="AN8">
        <v>0</v>
      </c>
      <c r="AO8" t="s">
        <v>28</v>
      </c>
      <c r="AP8">
        <f t="shared" si="17"/>
        <v>1</v>
      </c>
      <c r="AQ8">
        <f t="shared" si="18"/>
        <v>1</v>
      </c>
      <c r="AR8" t="str">
        <f t="shared" si="19"/>
        <v>Empate</v>
      </c>
      <c r="AS8" s="3" t="str">
        <f t="shared" si="14"/>
        <v>Empate</v>
      </c>
    </row>
    <row r="9" spans="1:45" x14ac:dyDescent="0.3">
      <c r="A9" t="s">
        <v>61</v>
      </c>
      <c r="B9">
        <f t="shared" si="0"/>
        <v>2020</v>
      </c>
      <c r="C9" t="str">
        <f t="shared" si="1"/>
        <v>Nov</v>
      </c>
      <c r="D9" t="str" cm="1">
        <f t="array" ref="D9">_xlfn.IFS(OR(C9="Dec", C9="Jan", C9="Feb"), "Invierno", OR(C9="Mar", C9="Apr", C9="May"), "Primavera", OR(C9="Jun", C9="Jul", C9="Aug"), "Verano", OR(C9="Sep", C9="Oct", C9="Nov"), "Otoño")</f>
        <v>Otoño</v>
      </c>
      <c r="E9" t="s">
        <v>62</v>
      </c>
      <c r="F9" t="s">
        <v>23</v>
      </c>
      <c r="G9" t="s">
        <v>63</v>
      </c>
      <c r="H9" t="s">
        <v>32</v>
      </c>
      <c r="I9" t="s">
        <v>64</v>
      </c>
      <c r="J9">
        <v>9</v>
      </c>
      <c r="K9">
        <v>11</v>
      </c>
      <c r="L9">
        <f t="shared" si="2"/>
        <v>11</v>
      </c>
      <c r="M9">
        <f t="shared" si="3"/>
        <v>9</v>
      </c>
      <c r="N9">
        <v>3</v>
      </c>
      <c r="O9">
        <v>4</v>
      </c>
      <c r="P9">
        <f t="shared" si="4"/>
        <v>4</v>
      </c>
      <c r="Q9">
        <f t="shared" si="5"/>
        <v>3</v>
      </c>
      <c r="R9">
        <v>55</v>
      </c>
      <c r="S9">
        <v>45</v>
      </c>
      <c r="T9" s="10">
        <f t="shared" si="6"/>
        <v>45</v>
      </c>
      <c r="U9">
        <f t="shared" si="7"/>
        <v>55</v>
      </c>
      <c r="V9">
        <v>1</v>
      </c>
      <c r="W9">
        <v>2</v>
      </c>
      <c r="X9">
        <v>19</v>
      </c>
      <c r="Y9">
        <v>18</v>
      </c>
      <c r="Z9">
        <f t="shared" si="15"/>
        <v>2</v>
      </c>
      <c r="AA9">
        <f t="shared" si="16"/>
        <v>1</v>
      </c>
      <c r="AB9">
        <f t="shared" si="8"/>
        <v>18</v>
      </c>
      <c r="AC9">
        <f t="shared" si="9"/>
        <v>19</v>
      </c>
      <c r="AD9">
        <v>2</v>
      </c>
      <c r="AE9">
        <v>5</v>
      </c>
      <c r="AF9" t="s">
        <v>65</v>
      </c>
      <c r="AG9">
        <v>0</v>
      </c>
      <c r="AH9">
        <f t="shared" si="10"/>
        <v>0</v>
      </c>
      <c r="AI9">
        <f t="shared" si="11"/>
        <v>0</v>
      </c>
      <c r="AJ9">
        <v>0</v>
      </c>
      <c r="AK9">
        <v>0</v>
      </c>
      <c r="AL9">
        <f t="shared" si="12"/>
        <v>0</v>
      </c>
      <c r="AM9">
        <f t="shared" si="13"/>
        <v>0</v>
      </c>
      <c r="AN9">
        <v>0</v>
      </c>
      <c r="AO9" t="s">
        <v>66</v>
      </c>
      <c r="AP9">
        <f t="shared" si="17"/>
        <v>0</v>
      </c>
      <c r="AQ9">
        <f t="shared" si="18"/>
        <v>0</v>
      </c>
      <c r="AR9" t="str">
        <f t="shared" si="19"/>
        <v>Empate</v>
      </c>
      <c r="AS9" s="3" t="str">
        <f t="shared" si="14"/>
        <v>Empate</v>
      </c>
    </row>
    <row r="10" spans="1:45" x14ac:dyDescent="0.3">
      <c r="A10" t="s">
        <v>67</v>
      </c>
      <c r="B10">
        <f t="shared" si="0"/>
        <v>2020</v>
      </c>
      <c r="C10" t="str">
        <f t="shared" si="1"/>
        <v>Nov</v>
      </c>
      <c r="D10" t="str" cm="1">
        <f t="array" ref="D10">_xlfn.IFS(OR(C10="Dec", C10="Jan", C10="Feb"), "Invierno", OR(C10="Mar", C10="Apr", C10="May"), "Primavera", OR(C10="Jun", C10="Jul", C10="Aug"), "Verano", OR(C10="Sep", C10="Oct", C10="Nov"), "Otoño")</f>
        <v>Otoño</v>
      </c>
      <c r="E10" t="s">
        <v>22</v>
      </c>
      <c r="F10" t="s">
        <v>38</v>
      </c>
      <c r="G10" t="s">
        <v>68</v>
      </c>
      <c r="H10" t="s">
        <v>25</v>
      </c>
      <c r="I10" t="s">
        <v>69</v>
      </c>
      <c r="J10">
        <v>20</v>
      </c>
      <c r="K10">
        <v>7</v>
      </c>
      <c r="L10">
        <f t="shared" si="2"/>
        <v>20</v>
      </c>
      <c r="M10">
        <f t="shared" si="3"/>
        <v>7</v>
      </c>
      <c r="N10">
        <v>11</v>
      </c>
      <c r="O10">
        <v>5</v>
      </c>
      <c r="P10">
        <f t="shared" si="4"/>
        <v>11</v>
      </c>
      <c r="Q10">
        <f t="shared" si="5"/>
        <v>5</v>
      </c>
      <c r="R10">
        <v>58</v>
      </c>
      <c r="S10">
        <v>42</v>
      </c>
      <c r="T10" s="10">
        <f t="shared" si="6"/>
        <v>58</v>
      </c>
      <c r="U10">
        <f t="shared" si="7"/>
        <v>42</v>
      </c>
      <c r="V10">
        <v>4</v>
      </c>
      <c r="W10">
        <v>1</v>
      </c>
      <c r="X10">
        <v>12</v>
      </c>
      <c r="Y10">
        <v>15</v>
      </c>
      <c r="Z10">
        <f t="shared" si="15"/>
        <v>4</v>
      </c>
      <c r="AA10">
        <f t="shared" si="16"/>
        <v>1</v>
      </c>
      <c r="AB10">
        <f t="shared" si="8"/>
        <v>12</v>
      </c>
      <c r="AC10">
        <f t="shared" si="9"/>
        <v>15</v>
      </c>
      <c r="AD10">
        <v>2</v>
      </c>
      <c r="AE10">
        <v>1</v>
      </c>
      <c r="AF10" t="s">
        <v>70</v>
      </c>
      <c r="AG10">
        <v>0</v>
      </c>
      <c r="AH10">
        <f t="shared" si="10"/>
        <v>0</v>
      </c>
      <c r="AI10">
        <f t="shared" si="11"/>
        <v>0</v>
      </c>
      <c r="AJ10">
        <v>0</v>
      </c>
      <c r="AK10">
        <v>0</v>
      </c>
      <c r="AL10">
        <f t="shared" si="12"/>
        <v>0</v>
      </c>
      <c r="AM10">
        <f t="shared" si="13"/>
        <v>2</v>
      </c>
      <c r="AN10">
        <v>2</v>
      </c>
      <c r="AO10" t="s">
        <v>71</v>
      </c>
      <c r="AP10">
        <f t="shared" si="17"/>
        <v>0</v>
      </c>
      <c r="AQ10">
        <f t="shared" si="18"/>
        <v>2</v>
      </c>
      <c r="AR10" t="str">
        <f t="shared" si="19"/>
        <v>Derrota</v>
      </c>
      <c r="AS10" s="3" t="str">
        <f t="shared" si="14"/>
        <v>Derrota ajustada</v>
      </c>
    </row>
    <row r="11" spans="1:45" x14ac:dyDescent="0.3">
      <c r="A11" t="s">
        <v>72</v>
      </c>
      <c r="B11">
        <f t="shared" si="0"/>
        <v>2021</v>
      </c>
      <c r="C11" t="str">
        <f t="shared" si="1"/>
        <v>Jan</v>
      </c>
      <c r="D11" t="str" cm="1">
        <f t="array" ref="D11">_xlfn.IFS(OR(C11="Dec", C11="Jan", C11="Feb"), "Invierno", OR(C11="Mar", C11="Apr", C11="May"), "Primavera", OR(C11="Jun", C11="Jul", C11="Aug"), "Verano", OR(C11="Sep", C11="Oct", C11="Nov"), "Otoño")</f>
        <v>Invierno</v>
      </c>
      <c r="E11" t="s">
        <v>30</v>
      </c>
      <c r="F11" t="s">
        <v>23</v>
      </c>
      <c r="G11" t="s">
        <v>73</v>
      </c>
      <c r="H11" t="s">
        <v>25</v>
      </c>
      <c r="I11" t="s">
        <v>59</v>
      </c>
      <c r="J11">
        <v>6</v>
      </c>
      <c r="K11">
        <v>17</v>
      </c>
      <c r="L11">
        <f t="shared" si="2"/>
        <v>17</v>
      </c>
      <c r="M11">
        <f t="shared" si="3"/>
        <v>6</v>
      </c>
      <c r="N11">
        <v>4</v>
      </c>
      <c r="O11">
        <v>8</v>
      </c>
      <c r="P11">
        <f t="shared" si="4"/>
        <v>8</v>
      </c>
      <c r="Q11">
        <f t="shared" si="5"/>
        <v>4</v>
      </c>
      <c r="R11">
        <v>34</v>
      </c>
      <c r="S11">
        <v>66</v>
      </c>
      <c r="T11" s="10">
        <f t="shared" si="6"/>
        <v>66</v>
      </c>
      <c r="U11">
        <f t="shared" si="7"/>
        <v>34</v>
      </c>
      <c r="V11">
        <v>2</v>
      </c>
      <c r="W11">
        <v>7</v>
      </c>
      <c r="X11">
        <v>20</v>
      </c>
      <c r="Y11">
        <v>26</v>
      </c>
      <c r="Z11">
        <f t="shared" si="15"/>
        <v>7</v>
      </c>
      <c r="AA11">
        <f t="shared" si="16"/>
        <v>2</v>
      </c>
      <c r="AB11">
        <f t="shared" si="8"/>
        <v>26</v>
      </c>
      <c r="AC11">
        <f t="shared" si="9"/>
        <v>20</v>
      </c>
      <c r="AD11">
        <v>0</v>
      </c>
      <c r="AE11">
        <v>0</v>
      </c>
      <c r="AF11" t="s">
        <v>50</v>
      </c>
      <c r="AG11">
        <v>1</v>
      </c>
      <c r="AH11">
        <f t="shared" si="10"/>
        <v>1</v>
      </c>
      <c r="AI11">
        <f t="shared" si="11"/>
        <v>1</v>
      </c>
      <c r="AJ11">
        <v>1</v>
      </c>
      <c r="AK11">
        <v>0</v>
      </c>
      <c r="AL11">
        <f t="shared" si="12"/>
        <v>0</v>
      </c>
      <c r="AM11">
        <f t="shared" si="13"/>
        <v>0</v>
      </c>
      <c r="AN11">
        <v>0</v>
      </c>
      <c r="AO11" t="s">
        <v>42</v>
      </c>
      <c r="AP11">
        <f t="shared" si="17"/>
        <v>1</v>
      </c>
      <c r="AQ11">
        <f t="shared" si="18"/>
        <v>1</v>
      </c>
      <c r="AR11" t="str">
        <f t="shared" si="19"/>
        <v>Empate</v>
      </c>
      <c r="AS11" s="3" t="str">
        <f t="shared" si="14"/>
        <v>Empate</v>
      </c>
    </row>
    <row r="12" spans="1:45" x14ac:dyDescent="0.3">
      <c r="A12" t="s">
        <v>74</v>
      </c>
      <c r="B12">
        <f t="shared" si="0"/>
        <v>2020</v>
      </c>
      <c r="C12" t="str">
        <f t="shared" si="1"/>
        <v>Dec</v>
      </c>
      <c r="D12" t="str" cm="1">
        <f t="array" ref="D12">_xlfn.IFS(OR(C12="Dec", C12="Jan", C12="Feb"), "Invierno", OR(C12="Mar", C12="Apr", C12="May"), "Primavera", OR(C12="Jun", C12="Jul", C12="Aug"), "Verano", OR(C12="Sep", C12="Oct", C12="Nov"), "Otoño")</f>
        <v>Invierno</v>
      </c>
      <c r="E12" t="s">
        <v>30</v>
      </c>
      <c r="F12" t="s">
        <v>38</v>
      </c>
      <c r="G12" t="s">
        <v>75</v>
      </c>
      <c r="H12" t="s">
        <v>25</v>
      </c>
      <c r="I12" t="s">
        <v>76</v>
      </c>
      <c r="J12">
        <v>20</v>
      </c>
      <c r="K12">
        <v>4</v>
      </c>
      <c r="L12">
        <f t="shared" si="2"/>
        <v>20</v>
      </c>
      <c r="M12">
        <f t="shared" si="3"/>
        <v>4</v>
      </c>
      <c r="N12">
        <v>3</v>
      </c>
      <c r="O12">
        <v>2</v>
      </c>
      <c r="P12">
        <f t="shared" si="4"/>
        <v>3</v>
      </c>
      <c r="Q12">
        <f t="shared" si="5"/>
        <v>2</v>
      </c>
      <c r="R12">
        <v>53</v>
      </c>
      <c r="S12">
        <v>47</v>
      </c>
      <c r="T12" s="10">
        <f t="shared" si="6"/>
        <v>53</v>
      </c>
      <c r="U12">
        <f t="shared" si="7"/>
        <v>47</v>
      </c>
      <c r="V12">
        <v>11</v>
      </c>
      <c r="W12">
        <v>2</v>
      </c>
      <c r="X12">
        <v>17</v>
      </c>
      <c r="Y12">
        <v>13</v>
      </c>
      <c r="Z12">
        <f t="shared" si="15"/>
        <v>11</v>
      </c>
      <c r="AA12">
        <f t="shared" si="16"/>
        <v>2</v>
      </c>
      <c r="AB12">
        <f t="shared" si="8"/>
        <v>17</v>
      </c>
      <c r="AC12">
        <f t="shared" si="9"/>
        <v>13</v>
      </c>
      <c r="AD12">
        <v>3</v>
      </c>
      <c r="AE12">
        <v>0</v>
      </c>
      <c r="AF12" t="s">
        <v>77</v>
      </c>
      <c r="AG12">
        <v>1</v>
      </c>
      <c r="AH12">
        <f t="shared" si="10"/>
        <v>1</v>
      </c>
      <c r="AI12">
        <f t="shared" si="11"/>
        <v>0</v>
      </c>
      <c r="AJ12">
        <v>0</v>
      </c>
      <c r="AK12">
        <v>2</v>
      </c>
      <c r="AL12">
        <f t="shared" si="12"/>
        <v>2</v>
      </c>
      <c r="AM12">
        <f t="shared" si="13"/>
        <v>0</v>
      </c>
      <c r="AN12">
        <v>0</v>
      </c>
      <c r="AO12" t="s">
        <v>78</v>
      </c>
      <c r="AP12">
        <f t="shared" si="17"/>
        <v>3</v>
      </c>
      <c r="AQ12">
        <f t="shared" si="18"/>
        <v>0</v>
      </c>
      <c r="AR12" t="str">
        <f t="shared" si="19"/>
        <v>Victoria</v>
      </c>
      <c r="AS12" s="3" t="str">
        <f t="shared" si="14"/>
        <v>Victoria dominante</v>
      </c>
    </row>
    <row r="13" spans="1:45" x14ac:dyDescent="0.3">
      <c r="A13" t="s">
        <v>79</v>
      </c>
      <c r="B13">
        <f t="shared" si="0"/>
        <v>2020</v>
      </c>
      <c r="C13" t="str">
        <f t="shared" si="1"/>
        <v>Dec</v>
      </c>
      <c r="D13" t="str" cm="1">
        <f t="array" ref="D13">_xlfn.IFS(OR(C13="Dec", C13="Jan", C13="Feb"), "Invierno", OR(C13="Mar", C13="Apr", C13="May"), "Primavera", OR(C13="Jun", C13="Jul", C13="Aug"), "Verano", OR(C13="Sep", C13="Oct", C13="Nov"), "Otoño")</f>
        <v>Invierno</v>
      </c>
      <c r="E13" t="s">
        <v>80</v>
      </c>
      <c r="F13" t="s">
        <v>23</v>
      </c>
      <c r="G13" t="s">
        <v>351</v>
      </c>
      <c r="H13" t="s">
        <v>25</v>
      </c>
      <c r="I13" t="s">
        <v>59</v>
      </c>
      <c r="J13">
        <v>12</v>
      </c>
      <c r="K13">
        <v>15</v>
      </c>
      <c r="L13">
        <f t="shared" si="2"/>
        <v>15</v>
      </c>
      <c r="M13">
        <f t="shared" si="3"/>
        <v>12</v>
      </c>
      <c r="N13">
        <v>4</v>
      </c>
      <c r="O13">
        <v>5</v>
      </c>
      <c r="P13">
        <f t="shared" si="4"/>
        <v>5</v>
      </c>
      <c r="Q13">
        <f t="shared" si="5"/>
        <v>4</v>
      </c>
      <c r="R13">
        <v>54</v>
      </c>
      <c r="S13">
        <v>46</v>
      </c>
      <c r="T13" s="10">
        <f t="shared" si="6"/>
        <v>46</v>
      </c>
      <c r="U13">
        <f t="shared" si="7"/>
        <v>54</v>
      </c>
      <c r="V13">
        <v>2</v>
      </c>
      <c r="W13">
        <v>6</v>
      </c>
      <c r="X13">
        <v>14</v>
      </c>
      <c r="Y13">
        <v>18</v>
      </c>
      <c r="Z13">
        <f t="shared" si="15"/>
        <v>6</v>
      </c>
      <c r="AA13">
        <f t="shared" si="16"/>
        <v>2</v>
      </c>
      <c r="AB13">
        <f t="shared" si="8"/>
        <v>18</v>
      </c>
      <c r="AC13">
        <f t="shared" si="9"/>
        <v>14</v>
      </c>
      <c r="AD13">
        <v>2</v>
      </c>
      <c r="AE13">
        <v>0</v>
      </c>
      <c r="AF13" t="s">
        <v>60</v>
      </c>
      <c r="AG13">
        <v>1</v>
      </c>
      <c r="AH13">
        <f t="shared" si="10"/>
        <v>0</v>
      </c>
      <c r="AI13">
        <f t="shared" si="11"/>
        <v>1</v>
      </c>
      <c r="AJ13">
        <v>0</v>
      </c>
      <c r="AK13">
        <v>0</v>
      </c>
      <c r="AL13">
        <f t="shared" si="12"/>
        <v>1</v>
      </c>
      <c r="AM13">
        <f t="shared" si="13"/>
        <v>0</v>
      </c>
      <c r="AN13">
        <v>1</v>
      </c>
      <c r="AO13" t="s">
        <v>81</v>
      </c>
      <c r="AP13">
        <f t="shared" si="17"/>
        <v>1</v>
      </c>
      <c r="AQ13">
        <f t="shared" si="18"/>
        <v>1</v>
      </c>
      <c r="AR13" t="str">
        <f t="shared" si="19"/>
        <v>Empate</v>
      </c>
      <c r="AS13" s="3" t="str">
        <f t="shared" si="14"/>
        <v>Empate</v>
      </c>
    </row>
    <row r="14" spans="1:45" x14ac:dyDescent="0.3">
      <c r="A14" t="s">
        <v>82</v>
      </c>
      <c r="B14">
        <f t="shared" si="0"/>
        <v>2020</v>
      </c>
      <c r="C14" t="str">
        <f t="shared" si="1"/>
        <v>Dec</v>
      </c>
      <c r="D14" t="str" cm="1">
        <f t="array" ref="D14">_xlfn.IFS(OR(C14="Dec", C14="Jan", C14="Feb"), "Invierno", OR(C14="Mar", C14="Apr", C14="May"), "Primavera", OR(C14="Jun", C14="Jul", C14="Aug"), "Verano", OR(C14="Sep", C14="Oct", C14="Nov"), "Otoño")</f>
        <v>Invierno</v>
      </c>
      <c r="E14" t="s">
        <v>62</v>
      </c>
      <c r="F14" t="s">
        <v>38</v>
      </c>
      <c r="G14" t="s">
        <v>83</v>
      </c>
      <c r="H14" t="s">
        <v>25</v>
      </c>
      <c r="I14" t="s">
        <v>45</v>
      </c>
      <c r="J14">
        <v>14</v>
      </c>
      <c r="K14">
        <v>5</v>
      </c>
      <c r="L14">
        <f t="shared" si="2"/>
        <v>14</v>
      </c>
      <c r="M14">
        <f t="shared" si="3"/>
        <v>5</v>
      </c>
      <c r="N14">
        <v>1</v>
      </c>
      <c r="O14">
        <v>2</v>
      </c>
      <c r="P14">
        <f t="shared" si="4"/>
        <v>1</v>
      </c>
      <c r="Q14">
        <f t="shared" si="5"/>
        <v>2</v>
      </c>
      <c r="R14">
        <v>55</v>
      </c>
      <c r="S14">
        <v>45</v>
      </c>
      <c r="T14" s="10">
        <f t="shared" si="6"/>
        <v>55</v>
      </c>
      <c r="U14">
        <f t="shared" si="7"/>
        <v>45</v>
      </c>
      <c r="V14">
        <v>2</v>
      </c>
      <c r="W14">
        <v>2</v>
      </c>
      <c r="X14">
        <v>15</v>
      </c>
      <c r="Y14">
        <v>14</v>
      </c>
      <c r="Z14">
        <f t="shared" si="15"/>
        <v>2</v>
      </c>
      <c r="AA14">
        <f t="shared" si="16"/>
        <v>2</v>
      </c>
      <c r="AB14">
        <f t="shared" si="8"/>
        <v>15</v>
      </c>
      <c r="AC14">
        <f t="shared" si="9"/>
        <v>14</v>
      </c>
      <c r="AD14">
        <v>1</v>
      </c>
      <c r="AE14">
        <v>1</v>
      </c>
      <c r="AF14" t="s">
        <v>84</v>
      </c>
      <c r="AG14">
        <v>0</v>
      </c>
      <c r="AH14">
        <f t="shared" si="10"/>
        <v>0</v>
      </c>
      <c r="AI14">
        <f t="shared" si="11"/>
        <v>1</v>
      </c>
      <c r="AJ14">
        <v>1</v>
      </c>
      <c r="AK14">
        <v>4</v>
      </c>
      <c r="AL14">
        <f t="shared" si="12"/>
        <v>4</v>
      </c>
      <c r="AM14">
        <f t="shared" si="13"/>
        <v>0</v>
      </c>
      <c r="AN14">
        <v>0</v>
      </c>
      <c r="AO14" t="s">
        <v>85</v>
      </c>
      <c r="AP14">
        <f t="shared" si="17"/>
        <v>4</v>
      </c>
      <c r="AQ14">
        <f t="shared" si="18"/>
        <v>1</v>
      </c>
      <c r="AR14" t="str">
        <f t="shared" si="19"/>
        <v>Victoria</v>
      </c>
      <c r="AS14" s="3" t="str">
        <f t="shared" si="14"/>
        <v>Victoria dominante</v>
      </c>
    </row>
    <row r="15" spans="1:45" x14ac:dyDescent="0.3">
      <c r="A15" t="s">
        <v>86</v>
      </c>
      <c r="B15">
        <f t="shared" si="0"/>
        <v>2020</v>
      </c>
      <c r="C15" t="str">
        <f t="shared" si="1"/>
        <v>Dec</v>
      </c>
      <c r="D15" t="str" cm="1">
        <f t="array" ref="D15">_xlfn.IFS(OR(C15="Dec", C15="Jan", C15="Feb"), "Invierno", OR(C15="Mar", C15="Apr", C15="May"), "Primavera", OR(C15="Jun", C15="Jul", C15="Aug"), "Verano", OR(C15="Sep", C15="Oct", C15="Nov"), "Otoño")</f>
        <v>Invierno</v>
      </c>
      <c r="E15" t="s">
        <v>22</v>
      </c>
      <c r="F15" t="s">
        <v>23</v>
      </c>
      <c r="G15" t="s">
        <v>87</v>
      </c>
      <c r="H15" t="s">
        <v>32</v>
      </c>
      <c r="I15" t="s">
        <v>88</v>
      </c>
      <c r="J15">
        <v>9</v>
      </c>
      <c r="K15">
        <v>12</v>
      </c>
      <c r="L15">
        <f t="shared" si="2"/>
        <v>12</v>
      </c>
      <c r="M15">
        <f t="shared" si="3"/>
        <v>9</v>
      </c>
      <c r="N15">
        <v>2</v>
      </c>
      <c r="O15">
        <v>3</v>
      </c>
      <c r="P15">
        <f t="shared" si="4"/>
        <v>3</v>
      </c>
      <c r="Q15">
        <f t="shared" si="5"/>
        <v>2</v>
      </c>
      <c r="R15">
        <v>54</v>
      </c>
      <c r="S15">
        <v>46</v>
      </c>
      <c r="T15" s="10">
        <f t="shared" si="6"/>
        <v>46</v>
      </c>
      <c r="U15">
        <f t="shared" si="7"/>
        <v>54</v>
      </c>
      <c r="V15">
        <v>1</v>
      </c>
      <c r="W15">
        <v>5</v>
      </c>
      <c r="X15">
        <v>12</v>
      </c>
      <c r="Y15">
        <v>14</v>
      </c>
      <c r="Z15">
        <f t="shared" si="15"/>
        <v>5</v>
      </c>
      <c r="AA15">
        <f t="shared" si="16"/>
        <v>1</v>
      </c>
      <c r="AB15">
        <f t="shared" si="8"/>
        <v>14</v>
      </c>
      <c r="AC15">
        <f t="shared" si="9"/>
        <v>12</v>
      </c>
      <c r="AD15">
        <v>0</v>
      </c>
      <c r="AE15">
        <v>2</v>
      </c>
      <c r="AF15" t="s">
        <v>89</v>
      </c>
      <c r="AG15">
        <v>0</v>
      </c>
      <c r="AH15">
        <f t="shared" si="10"/>
        <v>2</v>
      </c>
      <c r="AI15">
        <f t="shared" si="11"/>
        <v>0</v>
      </c>
      <c r="AJ15">
        <v>2</v>
      </c>
      <c r="AK15">
        <v>2</v>
      </c>
      <c r="AL15">
        <f t="shared" si="12"/>
        <v>0</v>
      </c>
      <c r="AM15">
        <f t="shared" si="13"/>
        <v>2</v>
      </c>
      <c r="AN15">
        <v>0</v>
      </c>
      <c r="AO15" t="s">
        <v>66</v>
      </c>
      <c r="AP15">
        <f t="shared" si="17"/>
        <v>2</v>
      </c>
      <c r="AQ15">
        <f t="shared" si="18"/>
        <v>2</v>
      </c>
      <c r="AR15" t="str">
        <f t="shared" si="19"/>
        <v>Empate</v>
      </c>
      <c r="AS15" s="3" t="str">
        <f t="shared" si="14"/>
        <v>Empate</v>
      </c>
    </row>
    <row r="16" spans="1:45" x14ac:dyDescent="0.3">
      <c r="A16" t="s">
        <v>90</v>
      </c>
      <c r="B16">
        <f t="shared" si="0"/>
        <v>2021</v>
      </c>
      <c r="C16" t="str">
        <f t="shared" si="1"/>
        <v>Jan</v>
      </c>
      <c r="D16" t="str" cm="1">
        <f t="array" ref="D16">_xlfn.IFS(OR(C16="Dec", C16="Jan", C16="Feb"), "Invierno", OR(C16="Mar", C16="Apr", C16="May"), "Primavera", OR(C16="Jun", C16="Jul", C16="Aug"), "Verano", OR(C16="Sep", C16="Oct", C16="Nov"), "Otoño")</f>
        <v>Invierno</v>
      </c>
      <c r="E16" t="s">
        <v>30</v>
      </c>
      <c r="F16" t="s">
        <v>38</v>
      </c>
      <c r="G16" t="s">
        <v>91</v>
      </c>
      <c r="H16" t="s">
        <v>32</v>
      </c>
      <c r="I16" t="s">
        <v>92</v>
      </c>
      <c r="J16">
        <v>23</v>
      </c>
      <c r="K16">
        <v>10</v>
      </c>
      <c r="L16">
        <f t="shared" si="2"/>
        <v>23</v>
      </c>
      <c r="M16">
        <f t="shared" si="3"/>
        <v>10</v>
      </c>
      <c r="N16">
        <v>14</v>
      </c>
      <c r="O16">
        <v>3</v>
      </c>
      <c r="P16">
        <f t="shared" si="4"/>
        <v>14</v>
      </c>
      <c r="Q16">
        <f t="shared" si="5"/>
        <v>3</v>
      </c>
      <c r="R16">
        <v>46</v>
      </c>
      <c r="S16">
        <v>54</v>
      </c>
      <c r="T16" s="10">
        <f t="shared" si="6"/>
        <v>46</v>
      </c>
      <c r="U16">
        <f t="shared" si="7"/>
        <v>54</v>
      </c>
      <c r="V16">
        <v>8</v>
      </c>
      <c r="W16">
        <v>3</v>
      </c>
      <c r="X16">
        <v>13</v>
      </c>
      <c r="Y16">
        <v>9</v>
      </c>
      <c r="Z16">
        <f t="shared" si="15"/>
        <v>8</v>
      </c>
      <c r="AA16">
        <f t="shared" si="16"/>
        <v>3</v>
      </c>
      <c r="AB16">
        <f t="shared" si="8"/>
        <v>13</v>
      </c>
      <c r="AC16">
        <f t="shared" si="9"/>
        <v>9</v>
      </c>
      <c r="AD16">
        <v>1</v>
      </c>
      <c r="AE16">
        <v>1</v>
      </c>
      <c r="AF16" t="s">
        <v>93</v>
      </c>
      <c r="AG16">
        <v>1</v>
      </c>
      <c r="AH16">
        <f t="shared" si="10"/>
        <v>1</v>
      </c>
      <c r="AI16">
        <f t="shared" si="11"/>
        <v>0</v>
      </c>
      <c r="AJ16">
        <v>0</v>
      </c>
      <c r="AK16">
        <v>4</v>
      </c>
      <c r="AL16">
        <f t="shared" si="12"/>
        <v>4</v>
      </c>
      <c r="AM16">
        <f t="shared" si="13"/>
        <v>1</v>
      </c>
      <c r="AN16">
        <v>1</v>
      </c>
      <c r="AO16" t="s">
        <v>85</v>
      </c>
      <c r="AP16">
        <f t="shared" si="17"/>
        <v>5</v>
      </c>
      <c r="AQ16">
        <f t="shared" si="18"/>
        <v>1</v>
      </c>
      <c r="AR16" t="str">
        <f t="shared" si="19"/>
        <v>Victoria</v>
      </c>
      <c r="AS16" s="3" t="str">
        <f t="shared" si="14"/>
        <v>Victoria dominante</v>
      </c>
    </row>
    <row r="17" spans="1:45" x14ac:dyDescent="0.3">
      <c r="A17" t="s">
        <v>94</v>
      </c>
      <c r="B17">
        <f t="shared" si="0"/>
        <v>2021</v>
      </c>
      <c r="C17" t="str">
        <f t="shared" si="1"/>
        <v>Jan</v>
      </c>
      <c r="D17" t="str" cm="1">
        <f t="array" ref="D17">_xlfn.IFS(OR(C17="Dec", C17="Jan", C17="Feb"), "Invierno", OR(C17="Mar", C17="Apr", C17="May"), "Primavera", OR(C17="Jun", C17="Jul", C17="Aug"), "Verano", OR(C17="Sep", C17="Oct", C17="Nov"), "Otoño")</f>
        <v>Invierno</v>
      </c>
      <c r="E17" t="s">
        <v>30</v>
      </c>
      <c r="F17" t="s">
        <v>38</v>
      </c>
      <c r="G17" t="s">
        <v>95</v>
      </c>
      <c r="H17" t="s">
        <v>32</v>
      </c>
      <c r="I17" t="s">
        <v>76</v>
      </c>
      <c r="J17">
        <v>17</v>
      </c>
      <c r="K17">
        <v>2</v>
      </c>
      <c r="L17">
        <f t="shared" si="2"/>
        <v>17</v>
      </c>
      <c r="M17">
        <f t="shared" si="3"/>
        <v>2</v>
      </c>
      <c r="N17">
        <v>9</v>
      </c>
      <c r="O17">
        <v>1</v>
      </c>
      <c r="P17">
        <f t="shared" si="4"/>
        <v>9</v>
      </c>
      <c r="Q17">
        <f t="shared" si="5"/>
        <v>1</v>
      </c>
      <c r="R17">
        <v>51</v>
      </c>
      <c r="S17">
        <v>49</v>
      </c>
      <c r="T17" s="10">
        <f t="shared" si="6"/>
        <v>51</v>
      </c>
      <c r="U17">
        <f t="shared" si="7"/>
        <v>49</v>
      </c>
      <c r="V17">
        <v>12</v>
      </c>
      <c r="W17">
        <v>3</v>
      </c>
      <c r="X17">
        <v>10</v>
      </c>
      <c r="Y17">
        <v>6</v>
      </c>
      <c r="Z17">
        <f t="shared" si="15"/>
        <v>12</v>
      </c>
      <c r="AA17">
        <f t="shared" si="16"/>
        <v>3</v>
      </c>
      <c r="AB17">
        <f t="shared" si="8"/>
        <v>10</v>
      </c>
      <c r="AC17">
        <f t="shared" si="9"/>
        <v>6</v>
      </c>
      <c r="AD17">
        <v>3</v>
      </c>
      <c r="AE17">
        <v>1</v>
      </c>
      <c r="AF17" t="s">
        <v>96</v>
      </c>
      <c r="AG17">
        <v>1</v>
      </c>
      <c r="AH17">
        <f t="shared" si="10"/>
        <v>1</v>
      </c>
      <c r="AI17">
        <f t="shared" si="11"/>
        <v>0</v>
      </c>
      <c r="AJ17">
        <v>0</v>
      </c>
      <c r="AK17">
        <v>2</v>
      </c>
      <c r="AL17">
        <f t="shared" si="12"/>
        <v>2</v>
      </c>
      <c r="AM17">
        <f t="shared" si="13"/>
        <v>0</v>
      </c>
      <c r="AN17">
        <v>0</v>
      </c>
      <c r="AO17" t="s">
        <v>97</v>
      </c>
      <c r="AP17">
        <f t="shared" si="17"/>
        <v>3</v>
      </c>
      <c r="AQ17">
        <f t="shared" si="18"/>
        <v>0</v>
      </c>
      <c r="AR17" t="str">
        <f t="shared" si="19"/>
        <v>Victoria</v>
      </c>
      <c r="AS17" s="3" t="str">
        <f t="shared" si="14"/>
        <v>Victoria dominante</v>
      </c>
    </row>
    <row r="18" spans="1:45" x14ac:dyDescent="0.3">
      <c r="A18" t="s">
        <v>98</v>
      </c>
      <c r="B18">
        <f t="shared" si="0"/>
        <v>2021</v>
      </c>
      <c r="C18" t="str">
        <f t="shared" si="1"/>
        <v>Jan</v>
      </c>
      <c r="D18" t="str" cm="1">
        <f t="array" ref="D18">_xlfn.IFS(OR(C18="Dec", C18="Jan", C18="Feb"), "Invierno", OR(C18="Mar", C18="Apr", C18="May"), "Primavera", OR(C18="Jun", C18="Jul", C18="Aug"), "Verano", OR(C18="Sep", C18="Oct", C18="Nov"), "Otoño")</f>
        <v>Invierno</v>
      </c>
      <c r="E18" t="s">
        <v>30</v>
      </c>
      <c r="F18" t="s">
        <v>23</v>
      </c>
      <c r="G18" t="s">
        <v>99</v>
      </c>
      <c r="H18" t="s">
        <v>32</v>
      </c>
      <c r="I18" t="s">
        <v>26</v>
      </c>
      <c r="J18">
        <v>5</v>
      </c>
      <c r="K18">
        <v>27</v>
      </c>
      <c r="L18">
        <f t="shared" si="2"/>
        <v>27</v>
      </c>
      <c r="M18">
        <f t="shared" si="3"/>
        <v>5</v>
      </c>
      <c r="N18">
        <v>2</v>
      </c>
      <c r="O18">
        <v>7</v>
      </c>
      <c r="P18">
        <f t="shared" si="4"/>
        <v>7</v>
      </c>
      <c r="Q18">
        <f t="shared" si="5"/>
        <v>2</v>
      </c>
      <c r="R18">
        <v>41</v>
      </c>
      <c r="S18">
        <v>59</v>
      </c>
      <c r="T18" s="10">
        <f t="shared" si="6"/>
        <v>59</v>
      </c>
      <c r="U18">
        <f t="shared" si="7"/>
        <v>41</v>
      </c>
      <c r="V18">
        <v>1</v>
      </c>
      <c r="W18">
        <v>11</v>
      </c>
      <c r="X18">
        <v>13</v>
      </c>
      <c r="Y18">
        <v>21</v>
      </c>
      <c r="Z18">
        <f t="shared" si="15"/>
        <v>11</v>
      </c>
      <c r="AA18">
        <f t="shared" si="16"/>
        <v>1</v>
      </c>
      <c r="AB18">
        <f t="shared" si="8"/>
        <v>21</v>
      </c>
      <c r="AC18">
        <f t="shared" si="9"/>
        <v>13</v>
      </c>
      <c r="AD18">
        <v>0</v>
      </c>
      <c r="AE18">
        <v>4</v>
      </c>
      <c r="AF18" t="s">
        <v>100</v>
      </c>
      <c r="AG18">
        <v>0</v>
      </c>
      <c r="AH18">
        <f t="shared" si="10"/>
        <v>1</v>
      </c>
      <c r="AI18">
        <f t="shared" si="11"/>
        <v>0</v>
      </c>
      <c r="AJ18">
        <v>1</v>
      </c>
      <c r="AK18">
        <v>1</v>
      </c>
      <c r="AL18">
        <f t="shared" si="12"/>
        <v>3</v>
      </c>
      <c r="AM18">
        <f t="shared" si="13"/>
        <v>1</v>
      </c>
      <c r="AN18">
        <v>3</v>
      </c>
      <c r="AO18" t="s">
        <v>51</v>
      </c>
      <c r="AP18">
        <f t="shared" si="17"/>
        <v>4</v>
      </c>
      <c r="AQ18">
        <f t="shared" si="18"/>
        <v>1</v>
      </c>
      <c r="AR18" t="str">
        <f t="shared" si="19"/>
        <v>Victoria</v>
      </c>
      <c r="AS18" s="3" t="str">
        <f t="shared" si="14"/>
        <v>Victoria dominante</v>
      </c>
    </row>
    <row r="19" spans="1:45" x14ac:dyDescent="0.3">
      <c r="A19" t="s">
        <v>101</v>
      </c>
      <c r="B19">
        <f t="shared" si="0"/>
        <v>2021</v>
      </c>
      <c r="C19" t="str">
        <f t="shared" si="1"/>
        <v>Jan</v>
      </c>
      <c r="D19" t="str" cm="1">
        <f t="array" ref="D19">_xlfn.IFS(OR(C19="Dec", C19="Jan", C19="Feb"), "Invierno", OR(C19="Mar", C19="Apr", C19="May"), "Primavera", OR(C19="Jun", C19="Jul", C19="Aug"), "Verano", OR(C19="Sep", C19="Oct", C19="Nov"), "Otoño")</f>
        <v>Invierno</v>
      </c>
      <c r="E19" t="s">
        <v>62</v>
      </c>
      <c r="F19" t="s">
        <v>38</v>
      </c>
      <c r="G19" t="s">
        <v>102</v>
      </c>
      <c r="H19" t="s">
        <v>25</v>
      </c>
      <c r="I19" t="s">
        <v>64</v>
      </c>
      <c r="J19">
        <v>19</v>
      </c>
      <c r="K19">
        <v>7</v>
      </c>
      <c r="L19">
        <f t="shared" si="2"/>
        <v>19</v>
      </c>
      <c r="M19">
        <f t="shared" si="3"/>
        <v>7</v>
      </c>
      <c r="N19">
        <v>11</v>
      </c>
      <c r="O19">
        <v>2</v>
      </c>
      <c r="P19">
        <f t="shared" si="4"/>
        <v>11</v>
      </c>
      <c r="Q19">
        <f t="shared" si="5"/>
        <v>2</v>
      </c>
      <c r="R19">
        <v>64</v>
      </c>
      <c r="S19">
        <v>36</v>
      </c>
      <c r="T19" s="10">
        <f t="shared" si="6"/>
        <v>64</v>
      </c>
      <c r="U19">
        <f t="shared" si="7"/>
        <v>36</v>
      </c>
      <c r="V19">
        <v>9</v>
      </c>
      <c r="W19">
        <v>1</v>
      </c>
      <c r="X19">
        <v>14</v>
      </c>
      <c r="Y19">
        <v>13</v>
      </c>
      <c r="Z19">
        <f t="shared" si="15"/>
        <v>9</v>
      </c>
      <c r="AA19">
        <f t="shared" si="16"/>
        <v>1</v>
      </c>
      <c r="AB19">
        <f t="shared" si="8"/>
        <v>14</v>
      </c>
      <c r="AC19">
        <f t="shared" si="9"/>
        <v>13</v>
      </c>
      <c r="AD19">
        <v>0</v>
      </c>
      <c r="AE19">
        <v>0</v>
      </c>
      <c r="AF19" t="s">
        <v>103</v>
      </c>
      <c r="AG19">
        <v>0</v>
      </c>
      <c r="AH19">
        <f t="shared" si="10"/>
        <v>0</v>
      </c>
      <c r="AI19">
        <f t="shared" si="11"/>
        <v>0</v>
      </c>
      <c r="AJ19">
        <v>0</v>
      </c>
      <c r="AK19">
        <v>0</v>
      </c>
      <c r="AL19">
        <f t="shared" si="12"/>
        <v>0</v>
      </c>
      <c r="AM19">
        <f t="shared" si="13"/>
        <v>0</v>
      </c>
      <c r="AN19">
        <v>0</v>
      </c>
      <c r="AO19" t="s">
        <v>78</v>
      </c>
      <c r="AP19">
        <f t="shared" si="17"/>
        <v>0</v>
      </c>
      <c r="AQ19">
        <f t="shared" si="18"/>
        <v>0</v>
      </c>
      <c r="AR19" t="str">
        <f t="shared" si="19"/>
        <v>Empate</v>
      </c>
      <c r="AS19" s="3" t="str">
        <f t="shared" si="14"/>
        <v>Empate</v>
      </c>
    </row>
    <row r="20" spans="1:45" x14ac:dyDescent="0.3">
      <c r="A20" t="s">
        <v>104</v>
      </c>
      <c r="B20">
        <f t="shared" si="0"/>
        <v>2021</v>
      </c>
      <c r="C20" t="str">
        <f t="shared" si="1"/>
        <v>Jan</v>
      </c>
      <c r="D20" t="str" cm="1">
        <f t="array" ref="D20">_xlfn.IFS(OR(C20="Dec", C20="Jan", C20="Feb"), "Invierno", OR(C20="Mar", C20="Apr", C20="May"), "Primavera", OR(C20="Jun", C20="Jul", C20="Aug"), "Verano", OR(C20="Sep", C20="Oct", C20="Nov"), "Otoño")</f>
        <v>Invierno</v>
      </c>
      <c r="E20" t="s">
        <v>62</v>
      </c>
      <c r="F20" t="s">
        <v>23</v>
      </c>
      <c r="G20" t="s">
        <v>105</v>
      </c>
      <c r="H20" t="s">
        <v>32</v>
      </c>
      <c r="I20" t="s">
        <v>106</v>
      </c>
      <c r="J20">
        <v>14</v>
      </c>
      <c r="K20">
        <v>18</v>
      </c>
      <c r="L20">
        <f t="shared" si="2"/>
        <v>18</v>
      </c>
      <c r="M20">
        <f t="shared" si="3"/>
        <v>14</v>
      </c>
      <c r="N20">
        <v>4</v>
      </c>
      <c r="O20">
        <v>7</v>
      </c>
      <c r="P20">
        <f t="shared" si="4"/>
        <v>7</v>
      </c>
      <c r="Q20">
        <f t="shared" si="5"/>
        <v>4</v>
      </c>
      <c r="R20">
        <v>51</v>
      </c>
      <c r="S20">
        <v>49</v>
      </c>
      <c r="T20" s="10">
        <f t="shared" si="6"/>
        <v>49</v>
      </c>
      <c r="U20">
        <f t="shared" si="7"/>
        <v>51</v>
      </c>
      <c r="V20">
        <v>5</v>
      </c>
      <c r="W20">
        <v>7</v>
      </c>
      <c r="X20">
        <v>11</v>
      </c>
      <c r="Y20">
        <v>14</v>
      </c>
      <c r="Z20">
        <f t="shared" si="15"/>
        <v>7</v>
      </c>
      <c r="AA20">
        <f t="shared" si="16"/>
        <v>5</v>
      </c>
      <c r="AB20">
        <f t="shared" si="8"/>
        <v>14</v>
      </c>
      <c r="AC20">
        <f t="shared" si="9"/>
        <v>11</v>
      </c>
      <c r="AD20">
        <v>3</v>
      </c>
      <c r="AE20">
        <v>1</v>
      </c>
      <c r="AF20" t="s">
        <v>77</v>
      </c>
      <c r="AG20">
        <v>0</v>
      </c>
      <c r="AH20">
        <f t="shared" si="10"/>
        <v>1</v>
      </c>
      <c r="AI20">
        <f t="shared" si="11"/>
        <v>0</v>
      </c>
      <c r="AJ20">
        <v>1</v>
      </c>
      <c r="AK20">
        <v>0</v>
      </c>
      <c r="AL20">
        <f t="shared" si="12"/>
        <v>2</v>
      </c>
      <c r="AM20">
        <f t="shared" si="13"/>
        <v>0</v>
      </c>
      <c r="AN20">
        <v>2</v>
      </c>
      <c r="AO20" t="s">
        <v>107</v>
      </c>
      <c r="AP20">
        <f t="shared" si="17"/>
        <v>3</v>
      </c>
      <c r="AQ20">
        <f t="shared" si="18"/>
        <v>0</v>
      </c>
      <c r="AR20" t="str">
        <f t="shared" si="19"/>
        <v>Victoria</v>
      </c>
      <c r="AS20" s="3" t="str">
        <f t="shared" si="14"/>
        <v>Victoria dominante</v>
      </c>
    </row>
    <row r="21" spans="1:45" x14ac:dyDescent="0.3">
      <c r="A21" t="s">
        <v>108</v>
      </c>
      <c r="B21">
        <f t="shared" si="0"/>
        <v>2021</v>
      </c>
      <c r="C21" t="str">
        <f t="shared" si="1"/>
        <v>Jan</v>
      </c>
      <c r="D21" t="str" cm="1">
        <f t="array" ref="D21">_xlfn.IFS(OR(C21="Dec", C21="Jan", C21="Feb"), "Invierno", OR(C21="Mar", C21="Apr", C21="May"), "Primavera", OR(C21="Jun", C21="Jul", C21="Aug"), "Verano", OR(C21="Sep", C21="Oct", C21="Nov"), "Otoño")</f>
        <v>Invierno</v>
      </c>
      <c r="E21" t="s">
        <v>30</v>
      </c>
      <c r="F21" t="s">
        <v>38</v>
      </c>
      <c r="G21" t="s">
        <v>24</v>
      </c>
      <c r="H21" t="s">
        <v>25</v>
      </c>
      <c r="I21" t="s">
        <v>49</v>
      </c>
      <c r="J21">
        <v>8</v>
      </c>
      <c r="K21">
        <v>14</v>
      </c>
      <c r="L21">
        <f t="shared" si="2"/>
        <v>8</v>
      </c>
      <c r="M21">
        <f t="shared" si="3"/>
        <v>14</v>
      </c>
      <c r="N21">
        <v>5</v>
      </c>
      <c r="O21">
        <v>3</v>
      </c>
      <c r="P21">
        <f t="shared" si="4"/>
        <v>5</v>
      </c>
      <c r="Q21">
        <f t="shared" si="5"/>
        <v>3</v>
      </c>
      <c r="R21">
        <v>57</v>
      </c>
      <c r="S21">
        <v>43</v>
      </c>
      <c r="T21" s="10">
        <f t="shared" si="6"/>
        <v>57</v>
      </c>
      <c r="U21">
        <f t="shared" si="7"/>
        <v>43</v>
      </c>
      <c r="V21">
        <v>2</v>
      </c>
      <c r="W21">
        <v>2</v>
      </c>
      <c r="X21">
        <v>12</v>
      </c>
      <c r="Y21">
        <v>20</v>
      </c>
      <c r="Z21">
        <f t="shared" si="15"/>
        <v>2</v>
      </c>
      <c r="AA21">
        <f t="shared" si="16"/>
        <v>2</v>
      </c>
      <c r="AB21">
        <f t="shared" si="8"/>
        <v>12</v>
      </c>
      <c r="AC21">
        <f t="shared" si="9"/>
        <v>20</v>
      </c>
      <c r="AD21">
        <v>1</v>
      </c>
      <c r="AE21">
        <v>3</v>
      </c>
      <c r="AF21" t="s">
        <v>89</v>
      </c>
      <c r="AG21">
        <v>0</v>
      </c>
      <c r="AH21">
        <f t="shared" si="10"/>
        <v>0</v>
      </c>
      <c r="AI21">
        <f t="shared" si="11"/>
        <v>1</v>
      </c>
      <c r="AJ21">
        <v>1</v>
      </c>
      <c r="AK21">
        <v>1</v>
      </c>
      <c r="AL21">
        <f t="shared" si="12"/>
        <v>1</v>
      </c>
      <c r="AM21">
        <f t="shared" si="13"/>
        <v>2</v>
      </c>
      <c r="AN21">
        <v>2</v>
      </c>
      <c r="AO21" t="s">
        <v>28</v>
      </c>
      <c r="AP21">
        <f t="shared" si="17"/>
        <v>1</v>
      </c>
      <c r="AQ21">
        <f t="shared" si="18"/>
        <v>3</v>
      </c>
      <c r="AR21" t="str">
        <f t="shared" si="19"/>
        <v>Derrota</v>
      </c>
      <c r="AS21" s="3" t="str">
        <f t="shared" si="14"/>
        <v>Derrota ajustada</v>
      </c>
    </row>
    <row r="22" spans="1:45" x14ac:dyDescent="0.3">
      <c r="A22" t="s">
        <v>109</v>
      </c>
      <c r="B22">
        <f t="shared" si="0"/>
        <v>2021</v>
      </c>
      <c r="C22" t="str">
        <f t="shared" si="1"/>
        <v>Feb</v>
      </c>
      <c r="D22" t="str" cm="1">
        <f t="array" ref="D22">_xlfn.IFS(OR(C22="Dec", C22="Jan", C22="Feb"), "Invierno", OR(C22="Mar", C22="Apr", C22="May"), "Primavera", OR(C22="Jun", C22="Jul", C22="Aug"), "Verano", OR(C22="Sep", C22="Oct", C22="Nov"), "Otoño")</f>
        <v>Invierno</v>
      </c>
      <c r="E22" t="s">
        <v>30</v>
      </c>
      <c r="F22" t="s">
        <v>38</v>
      </c>
      <c r="G22" t="s">
        <v>31</v>
      </c>
      <c r="H22" t="s">
        <v>25</v>
      </c>
      <c r="I22" t="s">
        <v>110</v>
      </c>
      <c r="J22">
        <v>0</v>
      </c>
      <c r="K22">
        <v>0</v>
      </c>
      <c r="L22">
        <f t="shared" si="2"/>
        <v>0</v>
      </c>
      <c r="M22">
        <f t="shared" si="3"/>
        <v>0</v>
      </c>
      <c r="N22">
        <v>0</v>
      </c>
      <c r="O22">
        <v>0</v>
      </c>
      <c r="P22">
        <f t="shared" si="4"/>
        <v>0</v>
      </c>
      <c r="Q22">
        <f t="shared" si="5"/>
        <v>0</v>
      </c>
      <c r="R22">
        <v>0</v>
      </c>
      <c r="S22">
        <v>0</v>
      </c>
      <c r="T22" s="10">
        <f t="shared" si="6"/>
        <v>0</v>
      </c>
      <c r="U22">
        <f t="shared" si="7"/>
        <v>0</v>
      </c>
      <c r="V22">
        <v>0</v>
      </c>
      <c r="W22">
        <v>0</v>
      </c>
      <c r="X22">
        <v>0</v>
      </c>
      <c r="Y22">
        <v>0</v>
      </c>
      <c r="Z22">
        <f t="shared" si="15"/>
        <v>0</v>
      </c>
      <c r="AA22">
        <f t="shared" si="16"/>
        <v>0</v>
      </c>
      <c r="AB22">
        <f t="shared" si="8"/>
        <v>0</v>
      </c>
      <c r="AC22">
        <f t="shared" si="9"/>
        <v>0</v>
      </c>
      <c r="AD22">
        <v>0</v>
      </c>
      <c r="AE22">
        <v>0</v>
      </c>
      <c r="AF22" t="s">
        <v>334</v>
      </c>
      <c r="AG22">
        <v>3</v>
      </c>
      <c r="AH22">
        <f t="shared" si="10"/>
        <v>3</v>
      </c>
      <c r="AI22">
        <f t="shared" si="11"/>
        <v>1</v>
      </c>
      <c r="AJ22">
        <v>1</v>
      </c>
      <c r="AK22">
        <v>0</v>
      </c>
      <c r="AL22">
        <f t="shared" si="12"/>
        <v>0</v>
      </c>
      <c r="AM22">
        <f t="shared" si="13"/>
        <v>2</v>
      </c>
      <c r="AN22">
        <v>2</v>
      </c>
      <c r="AO22" t="s">
        <v>111</v>
      </c>
      <c r="AP22">
        <f t="shared" si="17"/>
        <v>3</v>
      </c>
      <c r="AQ22">
        <f t="shared" si="18"/>
        <v>3</v>
      </c>
      <c r="AR22" t="str">
        <f t="shared" si="19"/>
        <v>Empate</v>
      </c>
      <c r="AS22" s="3" t="str">
        <f t="shared" si="14"/>
        <v>Empate</v>
      </c>
    </row>
    <row r="23" spans="1:45" x14ac:dyDescent="0.3">
      <c r="A23" t="s">
        <v>112</v>
      </c>
      <c r="B23">
        <f t="shared" si="0"/>
        <v>2021</v>
      </c>
      <c r="C23" t="str">
        <f t="shared" si="1"/>
        <v>Feb</v>
      </c>
      <c r="D23" t="str" cm="1">
        <f t="array" ref="D23">_xlfn.IFS(OR(C23="Dec", C23="Jan", C23="Feb"), "Invierno", OR(C23="Mar", C23="Apr", C23="May"), "Primavera", OR(C23="Jun", C23="Jul", C23="Aug"), "Verano", OR(C23="Sep", C23="Oct", C23="Nov"), "Otoño")</f>
        <v>Invierno</v>
      </c>
      <c r="E23" t="s">
        <v>30</v>
      </c>
      <c r="F23" t="s">
        <v>23</v>
      </c>
      <c r="G23" t="s">
        <v>39</v>
      </c>
      <c r="H23" t="s">
        <v>25</v>
      </c>
      <c r="I23" t="s">
        <v>113</v>
      </c>
      <c r="J23">
        <v>4</v>
      </c>
      <c r="K23">
        <v>10</v>
      </c>
      <c r="L23">
        <f t="shared" si="2"/>
        <v>10</v>
      </c>
      <c r="M23">
        <f t="shared" si="3"/>
        <v>4</v>
      </c>
      <c r="N23">
        <v>1</v>
      </c>
      <c r="O23">
        <v>5</v>
      </c>
      <c r="P23">
        <f t="shared" si="4"/>
        <v>5</v>
      </c>
      <c r="Q23">
        <f t="shared" si="5"/>
        <v>1</v>
      </c>
      <c r="R23">
        <v>36</v>
      </c>
      <c r="S23">
        <v>64</v>
      </c>
      <c r="T23" s="10">
        <f t="shared" si="6"/>
        <v>64</v>
      </c>
      <c r="U23">
        <f t="shared" si="7"/>
        <v>36</v>
      </c>
      <c r="V23">
        <v>6</v>
      </c>
      <c r="W23">
        <v>6</v>
      </c>
      <c r="X23">
        <v>13</v>
      </c>
      <c r="Y23">
        <v>17</v>
      </c>
      <c r="Z23">
        <f t="shared" si="15"/>
        <v>6</v>
      </c>
      <c r="AA23">
        <f t="shared" si="16"/>
        <v>6</v>
      </c>
      <c r="AB23">
        <f t="shared" si="8"/>
        <v>17</v>
      </c>
      <c r="AC23">
        <f t="shared" si="9"/>
        <v>13</v>
      </c>
      <c r="AD23">
        <v>0</v>
      </c>
      <c r="AE23">
        <v>2</v>
      </c>
      <c r="AF23" t="s">
        <v>114</v>
      </c>
      <c r="AG23">
        <v>0</v>
      </c>
      <c r="AH23">
        <f t="shared" si="10"/>
        <v>0</v>
      </c>
      <c r="AI23">
        <f t="shared" si="11"/>
        <v>0</v>
      </c>
      <c r="AJ23">
        <v>0</v>
      </c>
      <c r="AK23">
        <v>0</v>
      </c>
      <c r="AL23">
        <f t="shared" si="12"/>
        <v>1</v>
      </c>
      <c r="AM23">
        <f t="shared" si="13"/>
        <v>0</v>
      </c>
      <c r="AN23">
        <v>1</v>
      </c>
      <c r="AO23" t="s">
        <v>111</v>
      </c>
      <c r="AP23">
        <f t="shared" si="17"/>
        <v>1</v>
      </c>
      <c r="AQ23">
        <f t="shared" si="18"/>
        <v>0</v>
      </c>
      <c r="AR23" t="str">
        <f t="shared" si="19"/>
        <v>Victoria</v>
      </c>
      <c r="AS23" s="3" t="str">
        <f t="shared" si="14"/>
        <v>Victoria ajustada</v>
      </c>
    </row>
    <row r="24" spans="1:45" x14ac:dyDescent="0.3">
      <c r="A24" t="s">
        <v>115</v>
      </c>
      <c r="B24">
        <f t="shared" si="0"/>
        <v>2021</v>
      </c>
      <c r="C24" t="str">
        <f t="shared" si="1"/>
        <v>Feb</v>
      </c>
      <c r="D24" t="str" cm="1">
        <f t="array" ref="D24">_xlfn.IFS(OR(C24="Dec", C24="Jan", C24="Feb"), "Invierno", OR(C24="Mar", C24="Apr", C24="May"), "Primavera", OR(C24="Jun", C24="Jul", C24="Aug"), "Verano", OR(C24="Sep", C24="Oct", C24="Nov"), "Otoño")</f>
        <v>Invierno</v>
      </c>
      <c r="E24" t="s">
        <v>62</v>
      </c>
      <c r="F24" t="s">
        <v>38</v>
      </c>
      <c r="G24" t="s">
        <v>44</v>
      </c>
      <c r="H24" t="s">
        <v>32</v>
      </c>
      <c r="I24" t="s">
        <v>116</v>
      </c>
      <c r="J24">
        <v>18</v>
      </c>
      <c r="K24">
        <v>4</v>
      </c>
      <c r="L24">
        <f t="shared" si="2"/>
        <v>18</v>
      </c>
      <c r="M24">
        <f t="shared" si="3"/>
        <v>4</v>
      </c>
      <c r="N24">
        <v>8</v>
      </c>
      <c r="O24">
        <v>1</v>
      </c>
      <c r="P24">
        <f t="shared" si="4"/>
        <v>8</v>
      </c>
      <c r="Q24">
        <f t="shared" si="5"/>
        <v>1</v>
      </c>
      <c r="R24">
        <v>47</v>
      </c>
      <c r="S24">
        <v>53</v>
      </c>
      <c r="T24" s="10">
        <f t="shared" si="6"/>
        <v>47</v>
      </c>
      <c r="U24">
        <f t="shared" si="7"/>
        <v>53</v>
      </c>
      <c r="V24">
        <v>6</v>
      </c>
      <c r="W24">
        <v>2</v>
      </c>
      <c r="X24">
        <v>19</v>
      </c>
      <c r="Y24">
        <v>11</v>
      </c>
      <c r="Z24">
        <f t="shared" si="15"/>
        <v>6</v>
      </c>
      <c r="AA24">
        <f t="shared" si="16"/>
        <v>2</v>
      </c>
      <c r="AB24">
        <f t="shared" si="8"/>
        <v>19</v>
      </c>
      <c r="AC24">
        <f t="shared" si="9"/>
        <v>11</v>
      </c>
      <c r="AD24">
        <v>0</v>
      </c>
      <c r="AE24">
        <v>0</v>
      </c>
      <c r="AF24" t="s">
        <v>84</v>
      </c>
      <c r="AG24">
        <v>0</v>
      </c>
      <c r="AH24">
        <f t="shared" si="10"/>
        <v>0</v>
      </c>
      <c r="AI24">
        <f t="shared" si="11"/>
        <v>0</v>
      </c>
      <c r="AJ24">
        <v>0</v>
      </c>
      <c r="AK24">
        <v>4</v>
      </c>
      <c r="AL24">
        <f t="shared" si="12"/>
        <v>4</v>
      </c>
      <c r="AM24">
        <f t="shared" si="13"/>
        <v>2</v>
      </c>
      <c r="AN24">
        <v>2</v>
      </c>
      <c r="AO24" t="s">
        <v>28</v>
      </c>
      <c r="AP24">
        <f t="shared" si="17"/>
        <v>4</v>
      </c>
      <c r="AQ24">
        <f t="shared" si="18"/>
        <v>2</v>
      </c>
      <c r="AR24" t="str">
        <f t="shared" si="19"/>
        <v>Victoria</v>
      </c>
      <c r="AS24" s="3" t="str">
        <f t="shared" si="14"/>
        <v>Victoria dominante</v>
      </c>
    </row>
    <row r="25" spans="1:45" x14ac:dyDescent="0.3">
      <c r="A25" t="s">
        <v>117</v>
      </c>
      <c r="B25">
        <f t="shared" si="0"/>
        <v>2021</v>
      </c>
      <c r="C25" t="str">
        <f t="shared" si="1"/>
        <v>Feb</v>
      </c>
      <c r="D25" t="str" cm="1">
        <f t="array" ref="D25">_xlfn.IFS(OR(C25="Dec", C25="Jan", C25="Feb"), "Invierno", OR(C25="Mar", C25="Apr", C25="May"), "Primavera", OR(C25="Jun", C25="Jul", C25="Aug"), "Verano", OR(C25="Sep", C25="Oct", C25="Nov"), "Otoño")</f>
        <v>Invierno</v>
      </c>
      <c r="E25" t="s">
        <v>37</v>
      </c>
      <c r="F25" t="s">
        <v>23</v>
      </c>
      <c r="G25" t="s">
        <v>48</v>
      </c>
      <c r="H25" t="s">
        <v>25</v>
      </c>
      <c r="I25" t="s">
        <v>69</v>
      </c>
      <c r="J25">
        <v>8</v>
      </c>
      <c r="K25">
        <v>20</v>
      </c>
      <c r="L25">
        <f t="shared" si="2"/>
        <v>20</v>
      </c>
      <c r="M25">
        <f t="shared" si="3"/>
        <v>8</v>
      </c>
      <c r="N25">
        <v>5</v>
      </c>
      <c r="O25">
        <v>7</v>
      </c>
      <c r="P25">
        <f t="shared" si="4"/>
        <v>7</v>
      </c>
      <c r="Q25">
        <f t="shared" si="5"/>
        <v>5</v>
      </c>
      <c r="R25">
        <v>45</v>
      </c>
      <c r="S25">
        <v>55</v>
      </c>
      <c r="T25" s="10">
        <f t="shared" si="6"/>
        <v>55</v>
      </c>
      <c r="U25">
        <f t="shared" si="7"/>
        <v>45</v>
      </c>
      <c r="V25">
        <v>5</v>
      </c>
      <c r="W25">
        <v>6</v>
      </c>
      <c r="X25">
        <v>7</v>
      </c>
      <c r="Y25">
        <v>17</v>
      </c>
      <c r="Z25">
        <f t="shared" si="15"/>
        <v>6</v>
      </c>
      <c r="AA25">
        <f t="shared" si="16"/>
        <v>5</v>
      </c>
      <c r="AB25">
        <f t="shared" si="8"/>
        <v>17</v>
      </c>
      <c r="AC25">
        <f t="shared" si="9"/>
        <v>7</v>
      </c>
      <c r="AD25">
        <v>1</v>
      </c>
      <c r="AE25">
        <v>2</v>
      </c>
      <c r="AF25" t="s">
        <v>103</v>
      </c>
      <c r="AG25">
        <v>0</v>
      </c>
      <c r="AH25">
        <f t="shared" si="10"/>
        <v>1</v>
      </c>
      <c r="AI25">
        <f t="shared" si="11"/>
        <v>0</v>
      </c>
      <c r="AJ25">
        <v>1</v>
      </c>
      <c r="AK25">
        <v>0</v>
      </c>
      <c r="AL25">
        <f t="shared" si="12"/>
        <v>1</v>
      </c>
      <c r="AM25">
        <f t="shared" si="13"/>
        <v>0</v>
      </c>
      <c r="AN25">
        <v>1</v>
      </c>
      <c r="AO25" t="s">
        <v>51</v>
      </c>
      <c r="AP25">
        <f t="shared" si="17"/>
        <v>2</v>
      </c>
      <c r="AQ25">
        <f t="shared" si="18"/>
        <v>0</v>
      </c>
      <c r="AR25" t="str">
        <f t="shared" si="19"/>
        <v>Victoria</v>
      </c>
      <c r="AS25" s="3" t="str">
        <f t="shared" si="14"/>
        <v>Victoria dominante</v>
      </c>
    </row>
    <row r="26" spans="1:45" x14ac:dyDescent="0.3">
      <c r="A26" t="s">
        <v>118</v>
      </c>
      <c r="B26">
        <f t="shared" si="0"/>
        <v>2021</v>
      </c>
      <c r="C26" t="str">
        <f t="shared" si="1"/>
        <v>Mar</v>
      </c>
      <c r="D26" t="str" cm="1">
        <f t="array" ref="D26">_xlfn.IFS(OR(C26="Dec", C26="Jan", C26="Feb"), "Invierno", OR(C26="Mar", C26="Apr", C26="May"), "Primavera", OR(C26="Jun", C26="Jul", C26="Aug"), "Verano", OR(C26="Sep", C26="Oct", C26="Nov"), "Otoño")</f>
        <v>Primavera</v>
      </c>
      <c r="E26" t="s">
        <v>22</v>
      </c>
      <c r="F26" t="s">
        <v>38</v>
      </c>
      <c r="G26" t="s">
        <v>53</v>
      </c>
      <c r="H26" t="s">
        <v>25</v>
      </c>
      <c r="I26" t="s">
        <v>92</v>
      </c>
      <c r="J26">
        <v>21</v>
      </c>
      <c r="K26">
        <v>4</v>
      </c>
      <c r="L26">
        <f t="shared" si="2"/>
        <v>21</v>
      </c>
      <c r="M26">
        <f t="shared" si="3"/>
        <v>4</v>
      </c>
      <c r="N26">
        <v>8</v>
      </c>
      <c r="O26">
        <v>1</v>
      </c>
      <c r="P26">
        <f t="shared" si="4"/>
        <v>8</v>
      </c>
      <c r="Q26">
        <f t="shared" si="5"/>
        <v>1</v>
      </c>
      <c r="R26">
        <v>65</v>
      </c>
      <c r="S26">
        <v>35</v>
      </c>
      <c r="T26" s="10">
        <f t="shared" si="6"/>
        <v>65</v>
      </c>
      <c r="U26">
        <f t="shared" si="7"/>
        <v>35</v>
      </c>
      <c r="V26">
        <v>4</v>
      </c>
      <c r="W26">
        <v>3</v>
      </c>
      <c r="X26">
        <v>12</v>
      </c>
      <c r="Y26">
        <v>6</v>
      </c>
      <c r="Z26">
        <f t="shared" si="15"/>
        <v>4</v>
      </c>
      <c r="AA26">
        <f t="shared" si="16"/>
        <v>3</v>
      </c>
      <c r="AB26">
        <f t="shared" si="8"/>
        <v>12</v>
      </c>
      <c r="AC26">
        <f t="shared" si="9"/>
        <v>6</v>
      </c>
      <c r="AD26">
        <v>1</v>
      </c>
      <c r="AE26">
        <v>0</v>
      </c>
      <c r="AF26" t="s">
        <v>119</v>
      </c>
      <c r="AG26">
        <v>1</v>
      </c>
      <c r="AH26">
        <f t="shared" si="10"/>
        <v>1</v>
      </c>
      <c r="AI26">
        <f t="shared" si="11"/>
        <v>1</v>
      </c>
      <c r="AJ26">
        <v>1</v>
      </c>
      <c r="AK26">
        <v>4</v>
      </c>
      <c r="AL26">
        <f t="shared" si="12"/>
        <v>4</v>
      </c>
      <c r="AM26">
        <f t="shared" si="13"/>
        <v>0</v>
      </c>
      <c r="AN26">
        <v>0</v>
      </c>
      <c r="AO26" t="s">
        <v>56</v>
      </c>
      <c r="AP26">
        <f t="shared" si="17"/>
        <v>5</v>
      </c>
      <c r="AQ26">
        <f t="shared" si="18"/>
        <v>1</v>
      </c>
      <c r="AR26" t="str">
        <f t="shared" si="19"/>
        <v>Victoria</v>
      </c>
      <c r="AS26" s="3" t="str">
        <f t="shared" si="14"/>
        <v>Victoria dominante</v>
      </c>
    </row>
    <row r="27" spans="1:45" x14ac:dyDescent="0.3">
      <c r="A27" t="s">
        <v>120</v>
      </c>
      <c r="B27">
        <f t="shared" si="0"/>
        <v>2021</v>
      </c>
      <c r="C27" t="str">
        <f t="shared" si="1"/>
        <v>Mar</v>
      </c>
      <c r="D27" t="str" cm="1">
        <f t="array" ref="D27">_xlfn.IFS(OR(C27="Dec", C27="Jan", C27="Feb"), "Invierno", OR(C27="Mar", C27="Apr", C27="May"), "Primavera", OR(C27="Jun", C27="Jul", C27="Aug"), "Verano", OR(C27="Sep", C27="Oct", C27="Nov"), "Otoño")</f>
        <v>Primavera</v>
      </c>
      <c r="E27" t="s">
        <v>22</v>
      </c>
      <c r="F27" t="s">
        <v>23</v>
      </c>
      <c r="G27" t="s">
        <v>58</v>
      </c>
      <c r="H27" t="s">
        <v>25</v>
      </c>
      <c r="I27" t="s">
        <v>121</v>
      </c>
      <c r="J27">
        <v>5</v>
      </c>
      <c r="K27">
        <v>13</v>
      </c>
      <c r="L27">
        <f t="shared" si="2"/>
        <v>13</v>
      </c>
      <c r="M27">
        <f t="shared" si="3"/>
        <v>5</v>
      </c>
      <c r="N27">
        <v>2</v>
      </c>
      <c r="O27">
        <v>0</v>
      </c>
      <c r="P27">
        <f t="shared" si="4"/>
        <v>0</v>
      </c>
      <c r="Q27">
        <f t="shared" si="5"/>
        <v>2</v>
      </c>
      <c r="R27">
        <v>45</v>
      </c>
      <c r="S27">
        <v>55</v>
      </c>
      <c r="T27" s="10">
        <f t="shared" si="6"/>
        <v>55</v>
      </c>
      <c r="U27">
        <f t="shared" si="7"/>
        <v>45</v>
      </c>
      <c r="V27">
        <v>7</v>
      </c>
      <c r="W27">
        <v>7</v>
      </c>
      <c r="X27">
        <v>11</v>
      </c>
      <c r="Y27">
        <v>17</v>
      </c>
      <c r="Z27">
        <f t="shared" si="15"/>
        <v>7</v>
      </c>
      <c r="AA27">
        <f t="shared" si="16"/>
        <v>7</v>
      </c>
      <c r="AB27">
        <f t="shared" si="8"/>
        <v>17</v>
      </c>
      <c r="AC27">
        <f t="shared" si="9"/>
        <v>11</v>
      </c>
      <c r="AD27">
        <v>2</v>
      </c>
      <c r="AE27">
        <v>0</v>
      </c>
      <c r="AF27" t="s">
        <v>77</v>
      </c>
      <c r="AG27">
        <v>0</v>
      </c>
      <c r="AH27">
        <f t="shared" si="10"/>
        <v>0</v>
      </c>
      <c r="AI27">
        <f t="shared" si="11"/>
        <v>0</v>
      </c>
      <c r="AJ27">
        <v>0</v>
      </c>
      <c r="AK27">
        <v>1</v>
      </c>
      <c r="AL27">
        <f t="shared" si="12"/>
        <v>0</v>
      </c>
      <c r="AM27">
        <f t="shared" si="13"/>
        <v>1</v>
      </c>
      <c r="AN27">
        <v>0</v>
      </c>
      <c r="AO27" t="s">
        <v>107</v>
      </c>
      <c r="AP27">
        <f t="shared" si="17"/>
        <v>0</v>
      </c>
      <c r="AQ27">
        <f t="shared" si="18"/>
        <v>1</v>
      </c>
      <c r="AR27" t="str">
        <f t="shared" si="19"/>
        <v>Derrota</v>
      </c>
      <c r="AS27" s="3" t="str">
        <f t="shared" si="14"/>
        <v>Derrota ajustada</v>
      </c>
    </row>
    <row r="28" spans="1:45" x14ac:dyDescent="0.3">
      <c r="A28" t="s">
        <v>122</v>
      </c>
      <c r="B28">
        <f t="shared" si="0"/>
        <v>2021</v>
      </c>
      <c r="C28" t="str">
        <f t="shared" si="1"/>
        <v>Mar</v>
      </c>
      <c r="D28" t="str" cm="1">
        <f t="array" ref="D28">_xlfn.IFS(OR(C28="Dec", C28="Jan", C28="Feb"), "Invierno", OR(C28="Mar", C28="Apr", C28="May"), "Primavera", OR(C28="Jun", C28="Jul", C28="Aug"), "Verano", OR(C28="Sep", C28="Oct", C28="Nov"), "Otoño")</f>
        <v>Primavera</v>
      </c>
      <c r="E28" t="s">
        <v>22</v>
      </c>
      <c r="F28" t="s">
        <v>38</v>
      </c>
      <c r="G28" t="s">
        <v>63</v>
      </c>
      <c r="H28" t="s">
        <v>32</v>
      </c>
      <c r="I28" t="s">
        <v>123</v>
      </c>
      <c r="J28">
        <v>14</v>
      </c>
      <c r="K28">
        <v>7</v>
      </c>
      <c r="L28">
        <f t="shared" si="2"/>
        <v>14</v>
      </c>
      <c r="M28">
        <f t="shared" si="3"/>
        <v>7</v>
      </c>
      <c r="N28">
        <v>2</v>
      </c>
      <c r="O28">
        <v>4</v>
      </c>
      <c r="P28">
        <f t="shared" si="4"/>
        <v>2</v>
      </c>
      <c r="Q28">
        <f t="shared" si="5"/>
        <v>4</v>
      </c>
      <c r="R28">
        <v>47</v>
      </c>
      <c r="S28">
        <v>53</v>
      </c>
      <c r="T28" s="10">
        <f t="shared" si="6"/>
        <v>47</v>
      </c>
      <c r="U28">
        <f t="shared" si="7"/>
        <v>53</v>
      </c>
      <c r="V28">
        <v>3</v>
      </c>
      <c r="W28">
        <v>5</v>
      </c>
      <c r="X28">
        <v>17</v>
      </c>
      <c r="Y28">
        <v>6</v>
      </c>
      <c r="Z28">
        <f t="shared" si="15"/>
        <v>3</v>
      </c>
      <c r="AA28">
        <f t="shared" si="16"/>
        <v>5</v>
      </c>
      <c r="AB28">
        <f t="shared" si="8"/>
        <v>17</v>
      </c>
      <c r="AC28">
        <f t="shared" si="9"/>
        <v>6</v>
      </c>
      <c r="AD28">
        <v>2</v>
      </c>
      <c r="AE28">
        <v>3</v>
      </c>
      <c r="AF28" t="s">
        <v>124</v>
      </c>
      <c r="AG28">
        <v>0</v>
      </c>
      <c r="AH28">
        <f t="shared" si="10"/>
        <v>0</v>
      </c>
      <c r="AI28">
        <f t="shared" si="11"/>
        <v>0</v>
      </c>
      <c r="AJ28">
        <v>0</v>
      </c>
      <c r="AK28">
        <v>3</v>
      </c>
      <c r="AL28">
        <f t="shared" si="12"/>
        <v>3</v>
      </c>
      <c r="AM28">
        <f t="shared" si="13"/>
        <v>1</v>
      </c>
      <c r="AN28">
        <v>1</v>
      </c>
      <c r="AO28" t="s">
        <v>42</v>
      </c>
      <c r="AP28">
        <f t="shared" si="17"/>
        <v>3</v>
      </c>
      <c r="AQ28">
        <f t="shared" si="18"/>
        <v>1</v>
      </c>
      <c r="AR28" t="str">
        <f t="shared" si="19"/>
        <v>Victoria</v>
      </c>
      <c r="AS28" s="3" t="str">
        <f t="shared" si="14"/>
        <v>Victoria dominante</v>
      </c>
    </row>
    <row r="29" spans="1:45" x14ac:dyDescent="0.3">
      <c r="A29" t="s">
        <v>125</v>
      </c>
      <c r="B29">
        <f t="shared" si="0"/>
        <v>2021</v>
      </c>
      <c r="C29" t="str">
        <f t="shared" si="1"/>
        <v>Mar</v>
      </c>
      <c r="D29" t="str" cm="1">
        <f t="array" ref="D29">_xlfn.IFS(OR(C29="Dec", C29="Jan", C29="Feb"), "Invierno", OR(C29="Mar", C29="Apr", C29="May"), "Primavera", OR(C29="Jun", C29="Jul", C29="Aug"), "Verano", OR(C29="Sep", C29="Oct", C29="Nov"), "Otoño")</f>
        <v>Primavera</v>
      </c>
      <c r="E29" t="s">
        <v>37</v>
      </c>
      <c r="F29" t="s">
        <v>23</v>
      </c>
      <c r="G29" t="s">
        <v>68</v>
      </c>
      <c r="H29" t="s">
        <v>126</v>
      </c>
      <c r="I29" t="s">
        <v>69</v>
      </c>
      <c r="J29">
        <v>3</v>
      </c>
      <c r="K29">
        <v>16</v>
      </c>
      <c r="L29">
        <f t="shared" si="2"/>
        <v>16</v>
      </c>
      <c r="M29">
        <f t="shared" si="3"/>
        <v>3</v>
      </c>
      <c r="N29">
        <v>4</v>
      </c>
      <c r="O29">
        <v>1</v>
      </c>
      <c r="P29">
        <f t="shared" si="4"/>
        <v>1</v>
      </c>
      <c r="Q29">
        <f t="shared" si="5"/>
        <v>4</v>
      </c>
      <c r="R29">
        <v>52</v>
      </c>
      <c r="S29">
        <v>48</v>
      </c>
      <c r="T29" s="10">
        <f t="shared" si="6"/>
        <v>48</v>
      </c>
      <c r="U29">
        <f t="shared" si="7"/>
        <v>52</v>
      </c>
      <c r="V29">
        <v>4</v>
      </c>
      <c r="W29">
        <v>7</v>
      </c>
      <c r="X29">
        <v>23</v>
      </c>
      <c r="Y29">
        <v>20</v>
      </c>
      <c r="Z29">
        <f t="shared" si="15"/>
        <v>7</v>
      </c>
      <c r="AA29">
        <f t="shared" si="16"/>
        <v>4</v>
      </c>
      <c r="AB29">
        <f t="shared" si="8"/>
        <v>20</v>
      </c>
      <c r="AC29">
        <f t="shared" si="9"/>
        <v>23</v>
      </c>
      <c r="AD29">
        <v>3</v>
      </c>
      <c r="AE29">
        <v>3</v>
      </c>
      <c r="AF29" t="s">
        <v>127</v>
      </c>
      <c r="AG29">
        <v>0</v>
      </c>
      <c r="AH29">
        <f t="shared" si="10"/>
        <v>2</v>
      </c>
      <c r="AI29">
        <f t="shared" si="11"/>
        <v>0</v>
      </c>
      <c r="AJ29">
        <v>2</v>
      </c>
      <c r="AK29">
        <v>0</v>
      </c>
      <c r="AL29">
        <f t="shared" si="12"/>
        <v>0</v>
      </c>
      <c r="AM29">
        <f t="shared" si="13"/>
        <v>0</v>
      </c>
      <c r="AN29">
        <v>0</v>
      </c>
      <c r="AO29" t="s">
        <v>71</v>
      </c>
      <c r="AP29">
        <f t="shared" si="17"/>
        <v>2</v>
      </c>
      <c r="AQ29">
        <f t="shared" si="18"/>
        <v>0</v>
      </c>
      <c r="AR29" t="str">
        <f t="shared" si="19"/>
        <v>Victoria</v>
      </c>
      <c r="AS29" s="3" t="str">
        <f t="shared" si="14"/>
        <v>Victoria dominante</v>
      </c>
    </row>
    <row r="30" spans="1:45" x14ac:dyDescent="0.3">
      <c r="A30" t="s">
        <v>128</v>
      </c>
      <c r="B30">
        <f t="shared" si="0"/>
        <v>2021</v>
      </c>
      <c r="C30" t="str">
        <f t="shared" si="1"/>
        <v>Apr</v>
      </c>
      <c r="D30" t="str" cm="1">
        <f t="array" ref="D30">_xlfn.IFS(OR(C30="Dec", C30="Jan", C30="Feb"), "Invierno", OR(C30="Mar", C30="Apr", C30="May"), "Primavera", OR(C30="Jun", C30="Jul", C30="Aug"), "Verano", OR(C30="Sep", C30="Oct", C30="Nov"), "Otoño")</f>
        <v>Primavera</v>
      </c>
      <c r="E30" t="s">
        <v>30</v>
      </c>
      <c r="F30" t="s">
        <v>38</v>
      </c>
      <c r="G30" t="s">
        <v>73</v>
      </c>
      <c r="H30" t="s">
        <v>126</v>
      </c>
      <c r="I30" t="s">
        <v>129</v>
      </c>
      <c r="J30">
        <v>23</v>
      </c>
      <c r="K30">
        <v>9</v>
      </c>
      <c r="L30">
        <f t="shared" si="2"/>
        <v>23</v>
      </c>
      <c r="M30">
        <f t="shared" si="3"/>
        <v>9</v>
      </c>
      <c r="N30">
        <v>1</v>
      </c>
      <c r="O30">
        <v>5</v>
      </c>
      <c r="P30">
        <f t="shared" si="4"/>
        <v>1</v>
      </c>
      <c r="Q30">
        <f t="shared" si="5"/>
        <v>5</v>
      </c>
      <c r="R30">
        <v>58</v>
      </c>
      <c r="S30">
        <v>42</v>
      </c>
      <c r="T30" s="10">
        <f t="shared" si="6"/>
        <v>58</v>
      </c>
      <c r="U30">
        <f t="shared" si="7"/>
        <v>42</v>
      </c>
      <c r="V30">
        <v>4</v>
      </c>
      <c r="W30">
        <v>1</v>
      </c>
      <c r="X30">
        <v>15</v>
      </c>
      <c r="Y30">
        <v>9</v>
      </c>
      <c r="Z30">
        <f t="shared" si="15"/>
        <v>4</v>
      </c>
      <c r="AA30">
        <f t="shared" si="16"/>
        <v>1</v>
      </c>
      <c r="AB30">
        <f t="shared" si="8"/>
        <v>15</v>
      </c>
      <c r="AC30">
        <f t="shared" si="9"/>
        <v>9</v>
      </c>
      <c r="AD30">
        <v>1</v>
      </c>
      <c r="AE30">
        <v>1</v>
      </c>
      <c r="AF30" t="s">
        <v>130</v>
      </c>
      <c r="AG30">
        <v>2</v>
      </c>
      <c r="AH30">
        <f t="shared" si="10"/>
        <v>2</v>
      </c>
      <c r="AI30">
        <f t="shared" si="11"/>
        <v>0</v>
      </c>
      <c r="AJ30">
        <v>0</v>
      </c>
      <c r="AK30">
        <v>1</v>
      </c>
      <c r="AL30">
        <f t="shared" si="12"/>
        <v>1</v>
      </c>
      <c r="AM30">
        <f t="shared" si="13"/>
        <v>2</v>
      </c>
      <c r="AN30">
        <v>2</v>
      </c>
      <c r="AO30" t="s">
        <v>35</v>
      </c>
      <c r="AP30">
        <f t="shared" si="17"/>
        <v>3</v>
      </c>
      <c r="AQ30">
        <f t="shared" si="18"/>
        <v>2</v>
      </c>
      <c r="AR30" t="str">
        <f t="shared" si="19"/>
        <v>Victoria</v>
      </c>
      <c r="AS30" s="3" t="str">
        <f t="shared" si="14"/>
        <v>Victoria ajustada</v>
      </c>
    </row>
    <row r="31" spans="1:45" x14ac:dyDescent="0.3">
      <c r="A31" t="s">
        <v>131</v>
      </c>
      <c r="B31">
        <f t="shared" si="0"/>
        <v>2021</v>
      </c>
      <c r="C31" t="str">
        <f t="shared" si="1"/>
        <v>Apr</v>
      </c>
      <c r="D31" t="str" cm="1">
        <f t="array" ref="D31">_xlfn.IFS(OR(C31="Dec", C31="Jan", C31="Feb"), "Invierno", OR(C31="Mar", C31="Apr", C31="May"), "Primavera", OR(C31="Jun", C31="Jul", C31="Aug"), "Verano", OR(C31="Sep", C31="Oct", C31="Nov"), "Otoño")</f>
        <v>Primavera</v>
      </c>
      <c r="E31" t="s">
        <v>22</v>
      </c>
      <c r="F31" t="s">
        <v>23</v>
      </c>
      <c r="G31" t="s">
        <v>75</v>
      </c>
      <c r="H31" t="s">
        <v>126</v>
      </c>
      <c r="I31" t="s">
        <v>132</v>
      </c>
      <c r="J31">
        <v>10</v>
      </c>
      <c r="K31">
        <v>15</v>
      </c>
      <c r="L31">
        <f t="shared" si="2"/>
        <v>15</v>
      </c>
      <c r="M31">
        <f t="shared" si="3"/>
        <v>10</v>
      </c>
      <c r="N31">
        <v>5</v>
      </c>
      <c r="O31">
        <v>0</v>
      </c>
      <c r="P31">
        <f t="shared" si="4"/>
        <v>0</v>
      </c>
      <c r="Q31">
        <f t="shared" si="5"/>
        <v>5</v>
      </c>
      <c r="R31">
        <v>40</v>
      </c>
      <c r="S31">
        <v>60</v>
      </c>
      <c r="T31" s="10">
        <f t="shared" si="6"/>
        <v>60</v>
      </c>
      <c r="U31">
        <f t="shared" si="7"/>
        <v>40</v>
      </c>
      <c r="V31">
        <v>0</v>
      </c>
      <c r="W31">
        <v>6</v>
      </c>
      <c r="X31">
        <v>15</v>
      </c>
      <c r="Y31">
        <v>13</v>
      </c>
      <c r="Z31">
        <f t="shared" si="15"/>
        <v>6</v>
      </c>
      <c r="AA31">
        <f t="shared" si="16"/>
        <v>0</v>
      </c>
      <c r="AB31">
        <f t="shared" si="8"/>
        <v>13</v>
      </c>
      <c r="AC31">
        <f t="shared" si="9"/>
        <v>15</v>
      </c>
      <c r="AD31">
        <v>2</v>
      </c>
      <c r="AE31">
        <v>2</v>
      </c>
      <c r="AF31" t="s">
        <v>96</v>
      </c>
      <c r="AG31">
        <v>0</v>
      </c>
      <c r="AH31">
        <f t="shared" si="10"/>
        <v>2</v>
      </c>
      <c r="AI31">
        <f t="shared" si="11"/>
        <v>0</v>
      </c>
      <c r="AJ31">
        <v>2</v>
      </c>
      <c r="AK31">
        <v>2</v>
      </c>
      <c r="AL31">
        <f t="shared" si="12"/>
        <v>1</v>
      </c>
      <c r="AM31">
        <f t="shared" si="13"/>
        <v>2</v>
      </c>
      <c r="AN31">
        <v>1</v>
      </c>
      <c r="AO31" t="s">
        <v>42</v>
      </c>
      <c r="AP31">
        <f t="shared" si="17"/>
        <v>3</v>
      </c>
      <c r="AQ31">
        <f t="shared" si="18"/>
        <v>2</v>
      </c>
      <c r="AR31" t="str">
        <f t="shared" si="19"/>
        <v>Victoria</v>
      </c>
      <c r="AS31" s="3" t="str">
        <f t="shared" si="14"/>
        <v>Victoria ajustada</v>
      </c>
    </row>
    <row r="32" spans="1:45" x14ac:dyDescent="0.3">
      <c r="A32" t="s">
        <v>133</v>
      </c>
      <c r="B32">
        <f t="shared" si="0"/>
        <v>2021</v>
      </c>
      <c r="C32" t="str">
        <f t="shared" si="1"/>
        <v>Apr</v>
      </c>
      <c r="D32" t="str" cm="1">
        <f t="array" ref="D32">_xlfn.IFS(OR(C32="Dec", C32="Jan", C32="Feb"), "Invierno", OR(C32="Mar", C32="Apr", C32="May"), "Primavera", OR(C32="Jun", C32="Jul", C32="Aug"), "Verano", OR(C32="Sep", C32="Oct", C32="Nov"), "Otoño")</f>
        <v>Primavera</v>
      </c>
      <c r="E32" t="s">
        <v>30</v>
      </c>
      <c r="F32" t="s">
        <v>38</v>
      </c>
      <c r="G32" t="s">
        <v>351</v>
      </c>
      <c r="H32" t="s">
        <v>32</v>
      </c>
      <c r="I32" t="s">
        <v>121</v>
      </c>
      <c r="J32">
        <v>14</v>
      </c>
      <c r="K32">
        <v>11</v>
      </c>
      <c r="L32">
        <f t="shared" si="2"/>
        <v>14</v>
      </c>
      <c r="M32">
        <f t="shared" si="3"/>
        <v>11</v>
      </c>
      <c r="N32">
        <v>1</v>
      </c>
      <c r="O32">
        <v>1</v>
      </c>
      <c r="P32">
        <f t="shared" si="4"/>
        <v>1</v>
      </c>
      <c r="Q32">
        <f t="shared" si="5"/>
        <v>1</v>
      </c>
      <c r="R32">
        <v>46</v>
      </c>
      <c r="S32">
        <v>54</v>
      </c>
      <c r="T32" s="10">
        <f t="shared" si="6"/>
        <v>46</v>
      </c>
      <c r="U32">
        <f t="shared" si="7"/>
        <v>54</v>
      </c>
      <c r="V32">
        <v>3</v>
      </c>
      <c r="W32">
        <v>8</v>
      </c>
      <c r="X32">
        <v>18</v>
      </c>
      <c r="Y32">
        <v>16</v>
      </c>
      <c r="Z32">
        <f t="shared" si="15"/>
        <v>3</v>
      </c>
      <c r="AA32">
        <f t="shared" si="16"/>
        <v>8</v>
      </c>
      <c r="AB32">
        <f t="shared" si="8"/>
        <v>18</v>
      </c>
      <c r="AC32">
        <f t="shared" si="9"/>
        <v>16</v>
      </c>
      <c r="AD32">
        <v>0</v>
      </c>
      <c r="AE32">
        <v>0</v>
      </c>
      <c r="AF32" t="s">
        <v>134</v>
      </c>
      <c r="AG32">
        <v>0</v>
      </c>
      <c r="AH32">
        <f t="shared" si="10"/>
        <v>0</v>
      </c>
      <c r="AI32">
        <f t="shared" si="11"/>
        <v>0</v>
      </c>
      <c r="AJ32">
        <v>0</v>
      </c>
      <c r="AK32">
        <v>1</v>
      </c>
      <c r="AL32">
        <f t="shared" si="12"/>
        <v>1</v>
      </c>
      <c r="AM32">
        <f t="shared" si="13"/>
        <v>0</v>
      </c>
      <c r="AN32">
        <v>0</v>
      </c>
      <c r="AO32" t="s">
        <v>135</v>
      </c>
      <c r="AP32">
        <f t="shared" si="17"/>
        <v>1</v>
      </c>
      <c r="AQ32">
        <f t="shared" si="18"/>
        <v>0</v>
      </c>
      <c r="AR32" t="str">
        <f t="shared" si="19"/>
        <v>Victoria</v>
      </c>
      <c r="AS32" s="3" t="str">
        <f t="shared" si="14"/>
        <v>Victoria ajustada</v>
      </c>
    </row>
    <row r="33" spans="1:45" x14ac:dyDescent="0.3">
      <c r="A33" t="s">
        <v>136</v>
      </c>
      <c r="B33">
        <f t="shared" si="0"/>
        <v>2021</v>
      </c>
      <c r="C33" t="str">
        <f t="shared" si="1"/>
        <v>Apr</v>
      </c>
      <c r="D33" t="str" cm="1">
        <f t="array" ref="D33">_xlfn.IFS(OR(C33="Dec", C33="Jan", C33="Feb"), "Invierno", OR(C33="Mar", C33="Apr", C33="May"), "Primavera", OR(C33="Jun", C33="Jul", C33="Aug"), "Verano", OR(C33="Sep", C33="Oct", C33="Nov"), "Otoño")</f>
        <v>Primavera</v>
      </c>
      <c r="E33" t="s">
        <v>80</v>
      </c>
      <c r="F33" t="s">
        <v>23</v>
      </c>
      <c r="G33" t="s">
        <v>83</v>
      </c>
      <c r="H33" t="s">
        <v>25</v>
      </c>
      <c r="I33" t="s">
        <v>59</v>
      </c>
      <c r="J33">
        <v>14</v>
      </c>
      <c r="K33">
        <v>21</v>
      </c>
      <c r="L33">
        <f t="shared" si="2"/>
        <v>21</v>
      </c>
      <c r="M33">
        <f t="shared" si="3"/>
        <v>14</v>
      </c>
      <c r="N33">
        <v>7</v>
      </c>
      <c r="O33">
        <v>2</v>
      </c>
      <c r="P33">
        <f t="shared" si="4"/>
        <v>2</v>
      </c>
      <c r="Q33">
        <f t="shared" si="5"/>
        <v>7</v>
      </c>
      <c r="R33">
        <v>60</v>
      </c>
      <c r="S33">
        <v>40</v>
      </c>
      <c r="T33" s="10">
        <f t="shared" si="6"/>
        <v>40</v>
      </c>
      <c r="U33">
        <f t="shared" si="7"/>
        <v>60</v>
      </c>
      <c r="V33">
        <v>4</v>
      </c>
      <c r="W33">
        <v>8</v>
      </c>
      <c r="X33">
        <v>16</v>
      </c>
      <c r="Y33">
        <v>7</v>
      </c>
      <c r="Z33">
        <f t="shared" si="15"/>
        <v>8</v>
      </c>
      <c r="AA33">
        <f t="shared" si="16"/>
        <v>4</v>
      </c>
      <c r="AB33">
        <f t="shared" si="8"/>
        <v>7</v>
      </c>
      <c r="AC33">
        <f t="shared" si="9"/>
        <v>16</v>
      </c>
      <c r="AD33">
        <v>0</v>
      </c>
      <c r="AE33">
        <v>1</v>
      </c>
      <c r="AF33" t="s">
        <v>50</v>
      </c>
      <c r="AG33">
        <v>0</v>
      </c>
      <c r="AH33">
        <f t="shared" si="10"/>
        <v>1</v>
      </c>
      <c r="AI33">
        <f t="shared" si="11"/>
        <v>0</v>
      </c>
      <c r="AJ33">
        <v>1</v>
      </c>
      <c r="AK33">
        <v>1</v>
      </c>
      <c r="AL33">
        <f t="shared" si="12"/>
        <v>0</v>
      </c>
      <c r="AM33">
        <f t="shared" si="13"/>
        <v>1</v>
      </c>
      <c r="AN33">
        <v>0</v>
      </c>
      <c r="AO33" t="s">
        <v>137</v>
      </c>
      <c r="AP33">
        <f t="shared" si="17"/>
        <v>1</v>
      </c>
      <c r="AQ33">
        <f t="shared" si="18"/>
        <v>1</v>
      </c>
      <c r="AR33" t="str">
        <f t="shared" si="19"/>
        <v>Empate</v>
      </c>
      <c r="AS33" s="3" t="str">
        <f t="shared" si="14"/>
        <v>Empate</v>
      </c>
    </row>
    <row r="34" spans="1:45" x14ac:dyDescent="0.3">
      <c r="A34" t="s">
        <v>138</v>
      </c>
      <c r="B34">
        <f t="shared" ref="B34:B65" si="20">VALUE(RIGHT(A34,4))</f>
        <v>2021</v>
      </c>
      <c r="C34" t="str">
        <f t="shared" ref="C34:C65" si="21">MID(A34,5,3)</f>
        <v>Apr</v>
      </c>
      <c r="D34" t="str" cm="1">
        <f t="array" ref="D34">_xlfn.IFS(OR(C34="Dec", C34="Jan", C34="Feb"), "Invierno", OR(C34="Mar", C34="Apr", C34="May"), "Primavera", OR(C34="Jun", C34="Jul", C34="Aug"), "Verano", OR(C34="Sep", C34="Oct", C34="Nov"), "Otoño")</f>
        <v>Primavera</v>
      </c>
      <c r="E34" t="s">
        <v>22</v>
      </c>
      <c r="F34" t="s">
        <v>38</v>
      </c>
      <c r="G34" t="s">
        <v>87</v>
      </c>
      <c r="H34" t="s">
        <v>25</v>
      </c>
      <c r="I34" t="s">
        <v>139</v>
      </c>
      <c r="J34">
        <v>25</v>
      </c>
      <c r="K34">
        <v>8</v>
      </c>
      <c r="L34">
        <f t="shared" ref="L34:L65" si="22">IF(F34 = "H", J34, IF(F34 = "A", K34))</f>
        <v>25</v>
      </c>
      <c r="M34">
        <f t="shared" ref="M34:M65" si="23">IF(F34 = "A", J34, IF(F34 = "H", K34))</f>
        <v>8</v>
      </c>
      <c r="N34">
        <v>3</v>
      </c>
      <c r="O34">
        <v>4</v>
      </c>
      <c r="P34">
        <f t="shared" ref="P34:P65" si="24">IF(F34 = "H", N34, IF(F34 = "A", O34,0))</f>
        <v>3</v>
      </c>
      <c r="Q34">
        <f t="shared" ref="Q34:Q65" si="25">IF(F34 = "A", N34, IF(F34 = "H", O34))</f>
        <v>4</v>
      </c>
      <c r="R34">
        <v>57</v>
      </c>
      <c r="S34">
        <v>43</v>
      </c>
      <c r="T34" s="10">
        <f t="shared" ref="T34:T65" si="26">IF(F34 = "H", R34, IF(F34 ="A", S34,0))</f>
        <v>57</v>
      </c>
      <c r="U34">
        <f t="shared" ref="U34:U65" si="27">IF(F34 = "A", R34, IF(F34 = "H", S34))</f>
        <v>43</v>
      </c>
      <c r="V34">
        <v>8</v>
      </c>
      <c r="W34">
        <v>3</v>
      </c>
      <c r="X34">
        <v>12</v>
      </c>
      <c r="Y34">
        <v>8</v>
      </c>
      <c r="Z34">
        <f t="shared" ref="Z34:Z65" si="28">IF(F34 = "H", V34, IF(F34 = "A", W34))</f>
        <v>8</v>
      </c>
      <c r="AA34">
        <f t="shared" ref="AA34:AA65" si="29">IF(F34 = "A", V34, IF(F34 = "H", W34))</f>
        <v>3</v>
      </c>
      <c r="AB34">
        <f t="shared" ref="AB34:AB65" si="30">IF(F34 = "H", X34, IF(F34= "A", Y34, 0))</f>
        <v>12</v>
      </c>
      <c r="AC34">
        <f t="shared" ref="AC34:AC65" si="31">IF(F34 = "A", X34, IF(F34 = "H", Y34, 0))</f>
        <v>8</v>
      </c>
      <c r="AD34">
        <v>1</v>
      </c>
      <c r="AE34">
        <v>1</v>
      </c>
      <c r="AF34" t="s">
        <v>140</v>
      </c>
      <c r="AG34">
        <v>2</v>
      </c>
      <c r="AH34">
        <f t="shared" ref="AH34:AH65" si="32">IF(F34 = "H", AG34, IF(F34 ="A", AJ34,0))</f>
        <v>2</v>
      </c>
      <c r="AI34">
        <f t="shared" ref="AI34:AI65" si="33">IF(F34 = "A", AG34, IF(F34 ="H", AJ34,0))</f>
        <v>0</v>
      </c>
      <c r="AJ34">
        <v>0</v>
      </c>
      <c r="AK34">
        <v>3</v>
      </c>
      <c r="AL34">
        <f t="shared" ref="AL34:AL65" si="34">IF(F34 ="H", AK34, IF(F34 ="A", AN34,0))</f>
        <v>3</v>
      </c>
      <c r="AM34">
        <f t="shared" ref="AM34:AM65" si="35">IF(F34="A", AK34,IF(F34 ="H", AN34,0))</f>
        <v>0</v>
      </c>
      <c r="AN34">
        <v>0</v>
      </c>
      <c r="AO34" t="s">
        <v>141</v>
      </c>
      <c r="AP34">
        <f t="shared" ref="AP34:AP65" si="36">IF(F34="H", AG34+AK34, IF(F34="A", AJ34+AN34, 0))</f>
        <v>5</v>
      </c>
      <c r="AQ34">
        <f t="shared" ref="AQ34:AQ65" si="37">IF(F34="A", AG34+AK34, IF(F34="H", AJ34+AN34, 0))</f>
        <v>0</v>
      </c>
      <c r="AR34" t="str">
        <f t="shared" ref="AR34:AR65" si="38">IF(AP34&gt;AQ34,"Victoria",IF(AQ34&gt;AP34,"Derrota",IF(AQ34=AP34,"Empate")))</f>
        <v>Victoria</v>
      </c>
      <c r="AS34" s="3" t="str">
        <f t="shared" ref="AS34:AS65" si="39">IF(AP34&gt;AQ34,IF(AP34-AQ34&gt;1,"Victoria dominante","Victoria ajustada"),IF(AP34=AQ34,"Empate",IF(AP34-AQ34&lt;0,"Derrota ajustada","Derrota aplastante")))</f>
        <v>Victoria dominante</v>
      </c>
    </row>
    <row r="35" spans="1:45" x14ac:dyDescent="0.3">
      <c r="A35" t="s">
        <v>142</v>
      </c>
      <c r="B35">
        <f t="shared" si="20"/>
        <v>2021</v>
      </c>
      <c r="C35" t="str">
        <f t="shared" si="21"/>
        <v>May</v>
      </c>
      <c r="D35" t="str" cm="1">
        <f t="array" ref="D35">_xlfn.IFS(OR(C35="Dec", C35="Jan", C35="Feb"), "Invierno", OR(C35="Mar", C35="Apr", C35="May"), "Primavera", OR(C35="Jun", C35="Jul", C35="Aug"), "Verano", OR(C35="Sep", C35="Oct", C35="Nov"), "Otoño")</f>
        <v>Primavera</v>
      </c>
      <c r="E35" t="s">
        <v>30</v>
      </c>
      <c r="F35" t="s">
        <v>23</v>
      </c>
      <c r="G35" t="s">
        <v>91</v>
      </c>
      <c r="H35" t="s">
        <v>25</v>
      </c>
      <c r="I35" t="s">
        <v>59</v>
      </c>
      <c r="J35">
        <v>11</v>
      </c>
      <c r="K35">
        <v>10</v>
      </c>
      <c r="L35">
        <f t="shared" si="22"/>
        <v>10</v>
      </c>
      <c r="M35">
        <f t="shared" si="23"/>
        <v>11</v>
      </c>
      <c r="N35">
        <v>6</v>
      </c>
      <c r="O35">
        <v>4</v>
      </c>
      <c r="P35">
        <f t="shared" si="24"/>
        <v>4</v>
      </c>
      <c r="Q35">
        <f t="shared" si="25"/>
        <v>6</v>
      </c>
      <c r="R35">
        <v>63</v>
      </c>
      <c r="S35">
        <v>37</v>
      </c>
      <c r="T35" s="10">
        <f t="shared" si="26"/>
        <v>37</v>
      </c>
      <c r="U35">
        <f t="shared" si="27"/>
        <v>63</v>
      </c>
      <c r="V35">
        <v>4</v>
      </c>
      <c r="W35">
        <v>4</v>
      </c>
      <c r="X35">
        <v>18</v>
      </c>
      <c r="Y35">
        <v>12</v>
      </c>
      <c r="Z35">
        <f t="shared" si="28"/>
        <v>4</v>
      </c>
      <c r="AA35">
        <f t="shared" si="29"/>
        <v>4</v>
      </c>
      <c r="AB35">
        <f t="shared" si="30"/>
        <v>12</v>
      </c>
      <c r="AC35">
        <f t="shared" si="31"/>
        <v>18</v>
      </c>
      <c r="AD35">
        <v>2</v>
      </c>
      <c r="AE35">
        <v>1</v>
      </c>
      <c r="AF35" t="s">
        <v>127</v>
      </c>
      <c r="AG35">
        <v>0</v>
      </c>
      <c r="AH35">
        <f t="shared" si="32"/>
        <v>1</v>
      </c>
      <c r="AI35">
        <f t="shared" si="33"/>
        <v>0</v>
      </c>
      <c r="AJ35">
        <v>1</v>
      </c>
      <c r="AK35">
        <v>1</v>
      </c>
      <c r="AL35">
        <f t="shared" si="34"/>
        <v>0</v>
      </c>
      <c r="AM35">
        <f t="shared" si="35"/>
        <v>1</v>
      </c>
      <c r="AN35">
        <v>0</v>
      </c>
      <c r="AO35" t="s">
        <v>143</v>
      </c>
      <c r="AP35">
        <f t="shared" si="36"/>
        <v>1</v>
      </c>
      <c r="AQ35">
        <f t="shared" si="37"/>
        <v>1</v>
      </c>
      <c r="AR35" t="str">
        <f t="shared" si="38"/>
        <v>Empate</v>
      </c>
      <c r="AS35" s="3" t="str">
        <f t="shared" si="39"/>
        <v>Empate</v>
      </c>
    </row>
    <row r="36" spans="1:45" x14ac:dyDescent="0.3">
      <c r="A36" t="s">
        <v>144</v>
      </c>
      <c r="B36">
        <f t="shared" si="20"/>
        <v>2021</v>
      </c>
      <c r="C36" t="str">
        <f t="shared" si="21"/>
        <v>May</v>
      </c>
      <c r="D36" t="str" cm="1">
        <f t="array" ref="D36">_xlfn.IFS(OR(C36="Dec", C36="Jan", C36="Feb"), "Invierno", OR(C36="Mar", C36="Apr", C36="May"), "Primavera", OR(C36="Jun", C36="Jul", C36="Aug"), "Verano", OR(C36="Sep", C36="Oct", C36="Nov"), "Otoño")</f>
        <v>Primavera</v>
      </c>
      <c r="E36" t="s">
        <v>30</v>
      </c>
      <c r="F36" t="s">
        <v>23</v>
      </c>
      <c r="G36" t="s">
        <v>95</v>
      </c>
      <c r="H36" t="s">
        <v>25</v>
      </c>
      <c r="I36" t="s">
        <v>145</v>
      </c>
      <c r="J36">
        <v>7</v>
      </c>
      <c r="K36">
        <v>18</v>
      </c>
      <c r="L36">
        <f t="shared" si="22"/>
        <v>18</v>
      </c>
      <c r="M36">
        <f t="shared" si="23"/>
        <v>7</v>
      </c>
      <c r="N36">
        <v>7</v>
      </c>
      <c r="O36">
        <v>0</v>
      </c>
      <c r="P36">
        <f t="shared" si="24"/>
        <v>0</v>
      </c>
      <c r="Q36">
        <f t="shared" si="25"/>
        <v>7</v>
      </c>
      <c r="R36">
        <v>44</v>
      </c>
      <c r="S36">
        <v>56</v>
      </c>
      <c r="T36" s="10">
        <f t="shared" si="26"/>
        <v>56</v>
      </c>
      <c r="U36">
        <f t="shared" si="27"/>
        <v>44</v>
      </c>
      <c r="V36">
        <v>1</v>
      </c>
      <c r="W36">
        <v>3</v>
      </c>
      <c r="X36">
        <v>12</v>
      </c>
      <c r="Y36">
        <v>15</v>
      </c>
      <c r="Z36">
        <f t="shared" si="28"/>
        <v>3</v>
      </c>
      <c r="AA36">
        <f t="shared" si="29"/>
        <v>1</v>
      </c>
      <c r="AB36">
        <f t="shared" si="30"/>
        <v>15</v>
      </c>
      <c r="AC36">
        <f t="shared" si="31"/>
        <v>12</v>
      </c>
      <c r="AD36">
        <v>2</v>
      </c>
      <c r="AE36">
        <v>4</v>
      </c>
      <c r="AF36" t="s">
        <v>146</v>
      </c>
      <c r="AG36">
        <v>0</v>
      </c>
      <c r="AH36">
        <f t="shared" si="32"/>
        <v>1</v>
      </c>
      <c r="AI36">
        <f t="shared" si="33"/>
        <v>0</v>
      </c>
      <c r="AJ36">
        <v>1</v>
      </c>
      <c r="AK36">
        <v>2</v>
      </c>
      <c r="AL36">
        <f t="shared" si="34"/>
        <v>4</v>
      </c>
      <c r="AM36">
        <f t="shared" si="35"/>
        <v>2</v>
      </c>
      <c r="AN36">
        <v>4</v>
      </c>
      <c r="AO36" t="s">
        <v>147</v>
      </c>
      <c r="AP36">
        <f t="shared" si="36"/>
        <v>5</v>
      </c>
      <c r="AQ36">
        <f t="shared" si="37"/>
        <v>2</v>
      </c>
      <c r="AR36" t="str">
        <f t="shared" si="38"/>
        <v>Victoria</v>
      </c>
      <c r="AS36" s="3" t="str">
        <f t="shared" si="39"/>
        <v>Victoria dominante</v>
      </c>
    </row>
    <row r="37" spans="1:45" x14ac:dyDescent="0.3">
      <c r="A37" t="s">
        <v>148</v>
      </c>
      <c r="B37">
        <f t="shared" si="20"/>
        <v>2021</v>
      </c>
      <c r="C37" t="str">
        <f t="shared" si="21"/>
        <v>May</v>
      </c>
      <c r="D37" t="str" cm="1">
        <f t="array" ref="D37">_xlfn.IFS(OR(C37="Dec", C37="Jan", C37="Feb"), "Invierno", OR(C37="Mar", C37="Apr", C37="May"), "Primavera", OR(C37="Jun", C37="Jul", C37="Aug"), "Verano", OR(C37="Sep", C37="Oct", C37="Nov"), "Otoño")</f>
        <v>Primavera</v>
      </c>
      <c r="E37" t="s">
        <v>22</v>
      </c>
      <c r="F37" t="s">
        <v>38</v>
      </c>
      <c r="G37" t="s">
        <v>99</v>
      </c>
      <c r="H37" t="s">
        <v>149</v>
      </c>
      <c r="I37" t="s">
        <v>150</v>
      </c>
      <c r="J37">
        <v>15</v>
      </c>
      <c r="K37">
        <v>4</v>
      </c>
      <c r="L37">
        <f t="shared" si="22"/>
        <v>15</v>
      </c>
      <c r="M37">
        <f t="shared" si="23"/>
        <v>4</v>
      </c>
      <c r="N37">
        <v>0</v>
      </c>
      <c r="O37">
        <v>2</v>
      </c>
      <c r="P37">
        <f t="shared" si="24"/>
        <v>0</v>
      </c>
      <c r="Q37">
        <f t="shared" si="25"/>
        <v>2</v>
      </c>
      <c r="R37">
        <v>72</v>
      </c>
      <c r="S37">
        <v>28</v>
      </c>
      <c r="T37" s="10">
        <f t="shared" si="26"/>
        <v>72</v>
      </c>
      <c r="U37">
        <f t="shared" si="27"/>
        <v>28</v>
      </c>
      <c r="V37">
        <v>7</v>
      </c>
      <c r="W37">
        <v>5</v>
      </c>
      <c r="X37">
        <v>19</v>
      </c>
      <c r="Y37">
        <v>11</v>
      </c>
      <c r="Z37">
        <f t="shared" si="28"/>
        <v>7</v>
      </c>
      <c r="AA37">
        <f t="shared" si="29"/>
        <v>5</v>
      </c>
      <c r="AB37">
        <f t="shared" si="30"/>
        <v>19</v>
      </c>
      <c r="AC37">
        <f t="shared" si="31"/>
        <v>11</v>
      </c>
      <c r="AD37">
        <v>0</v>
      </c>
      <c r="AE37">
        <v>3</v>
      </c>
      <c r="AF37" t="s">
        <v>70</v>
      </c>
      <c r="AG37">
        <v>1</v>
      </c>
      <c r="AH37">
        <f t="shared" si="32"/>
        <v>1</v>
      </c>
      <c r="AI37">
        <f t="shared" si="33"/>
        <v>0</v>
      </c>
      <c r="AJ37">
        <v>0</v>
      </c>
      <c r="AK37">
        <v>1</v>
      </c>
      <c r="AL37">
        <f t="shared" si="34"/>
        <v>1</v>
      </c>
      <c r="AM37">
        <f t="shared" si="35"/>
        <v>0</v>
      </c>
      <c r="AN37">
        <v>0</v>
      </c>
      <c r="AO37" t="s">
        <v>111</v>
      </c>
      <c r="AP37">
        <f t="shared" si="36"/>
        <v>2</v>
      </c>
      <c r="AQ37">
        <f t="shared" si="37"/>
        <v>0</v>
      </c>
      <c r="AR37" t="str">
        <f t="shared" si="38"/>
        <v>Victoria</v>
      </c>
      <c r="AS37" s="3" t="str">
        <f t="shared" si="39"/>
        <v>Victoria dominante</v>
      </c>
    </row>
    <row r="38" spans="1:45" x14ac:dyDescent="0.3">
      <c r="A38" t="s">
        <v>151</v>
      </c>
      <c r="B38">
        <f t="shared" si="20"/>
        <v>2021</v>
      </c>
      <c r="C38" t="str">
        <f t="shared" si="21"/>
        <v>May</v>
      </c>
      <c r="D38" t="str" cm="1">
        <f t="array" ref="D38">_xlfn.IFS(OR(C38="Dec", C38="Jan", C38="Feb"), "Invierno", OR(C38="Mar", C38="Apr", C38="May"), "Primavera", OR(C38="Jun", C38="Jul", C38="Aug"), "Verano", OR(C38="Sep", C38="Oct", C38="Nov"), "Otoño")</f>
        <v>Primavera</v>
      </c>
      <c r="E38" t="s">
        <v>30</v>
      </c>
      <c r="F38" t="s">
        <v>23</v>
      </c>
      <c r="G38" t="s">
        <v>102</v>
      </c>
      <c r="H38" t="s">
        <v>25</v>
      </c>
      <c r="I38" t="s">
        <v>152</v>
      </c>
      <c r="J38">
        <v>10</v>
      </c>
      <c r="K38">
        <v>12</v>
      </c>
      <c r="L38">
        <f t="shared" si="22"/>
        <v>12</v>
      </c>
      <c r="M38">
        <f t="shared" si="23"/>
        <v>10</v>
      </c>
      <c r="N38">
        <v>2</v>
      </c>
      <c r="O38">
        <v>3</v>
      </c>
      <c r="P38">
        <f t="shared" si="24"/>
        <v>3</v>
      </c>
      <c r="Q38">
        <f t="shared" si="25"/>
        <v>2</v>
      </c>
      <c r="R38">
        <v>41</v>
      </c>
      <c r="S38">
        <v>59</v>
      </c>
      <c r="T38" s="10">
        <f t="shared" si="26"/>
        <v>59</v>
      </c>
      <c r="U38">
        <f t="shared" si="27"/>
        <v>41</v>
      </c>
      <c r="V38">
        <v>2</v>
      </c>
      <c r="W38">
        <v>4</v>
      </c>
      <c r="X38">
        <v>13</v>
      </c>
      <c r="Y38">
        <v>8</v>
      </c>
      <c r="Z38">
        <f t="shared" si="28"/>
        <v>4</v>
      </c>
      <c r="AA38">
        <f t="shared" si="29"/>
        <v>2</v>
      </c>
      <c r="AB38">
        <f t="shared" si="30"/>
        <v>8</v>
      </c>
      <c r="AC38">
        <f t="shared" si="31"/>
        <v>13</v>
      </c>
      <c r="AD38">
        <v>0</v>
      </c>
      <c r="AE38">
        <v>1</v>
      </c>
      <c r="AF38" t="s">
        <v>103</v>
      </c>
      <c r="AG38">
        <v>0</v>
      </c>
      <c r="AH38">
        <f t="shared" si="32"/>
        <v>3</v>
      </c>
      <c r="AI38">
        <f t="shared" si="33"/>
        <v>0</v>
      </c>
      <c r="AJ38">
        <v>3</v>
      </c>
      <c r="AK38">
        <v>3</v>
      </c>
      <c r="AL38">
        <f t="shared" si="34"/>
        <v>1</v>
      </c>
      <c r="AM38">
        <f t="shared" si="35"/>
        <v>3</v>
      </c>
      <c r="AN38">
        <v>1</v>
      </c>
      <c r="AO38" t="s">
        <v>42</v>
      </c>
      <c r="AP38">
        <f t="shared" si="36"/>
        <v>4</v>
      </c>
      <c r="AQ38">
        <f t="shared" si="37"/>
        <v>3</v>
      </c>
      <c r="AR38" t="str">
        <f t="shared" si="38"/>
        <v>Victoria</v>
      </c>
      <c r="AS38" s="3" t="str">
        <f t="shared" si="39"/>
        <v>Victoria ajustada</v>
      </c>
    </row>
    <row r="39" spans="1:45" x14ac:dyDescent="0.3">
      <c r="A39" t="s">
        <v>153</v>
      </c>
      <c r="B39">
        <f t="shared" si="20"/>
        <v>2021</v>
      </c>
      <c r="C39" t="str">
        <f t="shared" si="21"/>
        <v>May</v>
      </c>
      <c r="D39" t="str" cm="1">
        <f t="array" ref="D39">_xlfn.IFS(OR(C39="Dec", C39="Jan", C39="Feb"), "Invierno", OR(C39="Mar", C39="Apr", C39="May"), "Primavera", OR(C39="Jun", C39="Jul", C39="Aug"), "Verano", OR(C39="Sep", C39="Oct", C39="Nov"), "Otoño")</f>
        <v>Primavera</v>
      </c>
      <c r="E39" t="s">
        <v>22</v>
      </c>
      <c r="F39" t="s">
        <v>38</v>
      </c>
      <c r="G39" t="s">
        <v>105</v>
      </c>
      <c r="H39" t="s">
        <v>25</v>
      </c>
      <c r="I39" t="s">
        <v>69</v>
      </c>
      <c r="J39">
        <v>13</v>
      </c>
      <c r="K39">
        <v>6</v>
      </c>
      <c r="L39">
        <f t="shared" si="22"/>
        <v>13</v>
      </c>
      <c r="M39">
        <f t="shared" si="23"/>
        <v>6</v>
      </c>
      <c r="N39">
        <v>0</v>
      </c>
      <c r="O39">
        <v>1</v>
      </c>
      <c r="P39">
        <f t="shared" si="24"/>
        <v>0</v>
      </c>
      <c r="Q39">
        <f t="shared" si="25"/>
        <v>1</v>
      </c>
      <c r="R39">
        <v>70</v>
      </c>
      <c r="S39">
        <v>30</v>
      </c>
      <c r="T39" s="10">
        <f t="shared" si="26"/>
        <v>70</v>
      </c>
      <c r="U39">
        <f t="shared" si="27"/>
        <v>30</v>
      </c>
      <c r="V39">
        <v>3</v>
      </c>
      <c r="W39">
        <v>0</v>
      </c>
      <c r="X39">
        <v>17</v>
      </c>
      <c r="Y39">
        <v>11</v>
      </c>
      <c r="Z39">
        <f t="shared" si="28"/>
        <v>3</v>
      </c>
      <c r="AA39">
        <f t="shared" si="29"/>
        <v>0</v>
      </c>
      <c r="AB39">
        <f t="shared" si="30"/>
        <v>17</v>
      </c>
      <c r="AC39">
        <f t="shared" si="31"/>
        <v>11</v>
      </c>
      <c r="AD39">
        <v>1</v>
      </c>
      <c r="AE39">
        <v>0</v>
      </c>
      <c r="AF39" t="s">
        <v>77</v>
      </c>
      <c r="AG39">
        <v>0</v>
      </c>
      <c r="AH39">
        <f t="shared" si="32"/>
        <v>0</v>
      </c>
      <c r="AI39">
        <f t="shared" si="33"/>
        <v>1</v>
      </c>
      <c r="AJ39">
        <v>1</v>
      </c>
      <c r="AK39">
        <v>0</v>
      </c>
      <c r="AL39">
        <f t="shared" si="34"/>
        <v>0</v>
      </c>
      <c r="AM39">
        <f t="shared" si="35"/>
        <v>1</v>
      </c>
      <c r="AN39">
        <v>1</v>
      </c>
      <c r="AO39" t="s">
        <v>135</v>
      </c>
      <c r="AP39">
        <f t="shared" si="36"/>
        <v>0</v>
      </c>
      <c r="AQ39">
        <f t="shared" si="37"/>
        <v>2</v>
      </c>
      <c r="AR39" t="str">
        <f t="shared" si="38"/>
        <v>Derrota</v>
      </c>
      <c r="AS39" s="3" t="str">
        <f t="shared" si="39"/>
        <v>Derrota ajustada</v>
      </c>
    </row>
    <row r="40" spans="1:45" x14ac:dyDescent="0.3">
      <c r="A40" t="s">
        <v>154</v>
      </c>
      <c r="B40">
        <f t="shared" si="20"/>
        <v>2021</v>
      </c>
      <c r="C40" t="str">
        <f t="shared" si="21"/>
        <v>Aug</v>
      </c>
      <c r="D40" t="str" cm="1">
        <f t="array" ref="D40">_xlfn.IFS(OR(C40="Dec", C40="Jan", C40="Feb"), "Invierno", OR(C40="Mar", C40="Apr", C40="May"), "Primavera", OR(C40="Jun", C40="Jul", C40="Aug"), "Verano", OR(C40="Sep", C40="Oct", C40="Nov"), "Otoño")</f>
        <v>Verano</v>
      </c>
      <c r="E40" t="s">
        <v>22</v>
      </c>
      <c r="F40" t="s">
        <v>23</v>
      </c>
      <c r="G40" t="s">
        <v>31</v>
      </c>
      <c r="H40" t="s">
        <v>25</v>
      </c>
      <c r="I40" t="s">
        <v>54</v>
      </c>
      <c r="J40">
        <v>21</v>
      </c>
      <c r="K40">
        <v>7</v>
      </c>
      <c r="L40">
        <f t="shared" si="22"/>
        <v>7</v>
      </c>
      <c r="M40">
        <f t="shared" si="23"/>
        <v>21</v>
      </c>
      <c r="N40">
        <v>0</v>
      </c>
      <c r="O40">
        <v>6</v>
      </c>
      <c r="P40">
        <f t="shared" si="24"/>
        <v>6</v>
      </c>
      <c r="Q40">
        <f t="shared" si="25"/>
        <v>0</v>
      </c>
      <c r="R40">
        <v>48</v>
      </c>
      <c r="S40">
        <v>52</v>
      </c>
      <c r="T40" s="10">
        <f t="shared" si="26"/>
        <v>52</v>
      </c>
      <c r="U40">
        <f t="shared" si="27"/>
        <v>48</v>
      </c>
      <c r="V40">
        <v>5</v>
      </c>
      <c r="W40">
        <v>1</v>
      </c>
      <c r="X40">
        <v>7</v>
      </c>
      <c r="Y40">
        <v>13</v>
      </c>
      <c r="Z40">
        <f t="shared" si="28"/>
        <v>1</v>
      </c>
      <c r="AA40">
        <f t="shared" si="29"/>
        <v>5</v>
      </c>
      <c r="AB40">
        <f t="shared" si="30"/>
        <v>13</v>
      </c>
      <c r="AC40">
        <f t="shared" si="31"/>
        <v>7</v>
      </c>
      <c r="AD40">
        <v>0</v>
      </c>
      <c r="AE40">
        <v>0</v>
      </c>
      <c r="AF40" t="s">
        <v>89</v>
      </c>
      <c r="AG40">
        <v>0</v>
      </c>
      <c r="AH40">
        <f t="shared" si="32"/>
        <v>1</v>
      </c>
      <c r="AI40">
        <f t="shared" si="33"/>
        <v>0</v>
      </c>
      <c r="AJ40">
        <v>1</v>
      </c>
      <c r="AK40">
        <v>1</v>
      </c>
      <c r="AL40">
        <f t="shared" si="34"/>
        <v>1</v>
      </c>
      <c r="AM40">
        <f t="shared" si="35"/>
        <v>1</v>
      </c>
      <c r="AN40">
        <v>1</v>
      </c>
      <c r="AO40" t="s">
        <v>51</v>
      </c>
      <c r="AP40">
        <f t="shared" si="36"/>
        <v>2</v>
      </c>
      <c r="AQ40">
        <f t="shared" si="37"/>
        <v>1</v>
      </c>
      <c r="AR40" t="str">
        <f t="shared" si="38"/>
        <v>Victoria</v>
      </c>
      <c r="AS40" s="3" t="str">
        <f t="shared" si="39"/>
        <v>Victoria ajustada</v>
      </c>
    </row>
    <row r="41" spans="1:45" x14ac:dyDescent="0.3">
      <c r="A41" t="s">
        <v>155</v>
      </c>
      <c r="B41">
        <f t="shared" si="20"/>
        <v>2021</v>
      </c>
      <c r="C41" t="str">
        <f t="shared" si="21"/>
        <v>Aug</v>
      </c>
      <c r="D41" t="str" cm="1">
        <f t="array" ref="D41">_xlfn.IFS(OR(C41="Dec", C41="Jan", C41="Feb"), "Invierno", OR(C41="Mar", C41="Apr", C41="May"), "Primavera", OR(C41="Jun", C41="Jul", C41="Aug"), "Verano", OR(C41="Sep", C41="Oct", C41="Nov"), "Otoño")</f>
        <v>Verano</v>
      </c>
      <c r="E41" t="s">
        <v>80</v>
      </c>
      <c r="F41" t="s">
        <v>38</v>
      </c>
      <c r="G41" t="s">
        <v>87</v>
      </c>
      <c r="H41" t="s">
        <v>25</v>
      </c>
      <c r="I41" t="s">
        <v>64</v>
      </c>
      <c r="J41">
        <v>22</v>
      </c>
      <c r="K41">
        <v>4</v>
      </c>
      <c r="L41">
        <f t="shared" si="22"/>
        <v>22</v>
      </c>
      <c r="M41">
        <f t="shared" si="23"/>
        <v>4</v>
      </c>
      <c r="N41">
        <v>1</v>
      </c>
      <c r="O41">
        <v>3</v>
      </c>
      <c r="P41">
        <f t="shared" si="24"/>
        <v>1</v>
      </c>
      <c r="Q41">
        <f t="shared" si="25"/>
        <v>3</v>
      </c>
      <c r="R41">
        <v>59</v>
      </c>
      <c r="S41">
        <v>41</v>
      </c>
      <c r="T41" s="10">
        <f t="shared" si="26"/>
        <v>59</v>
      </c>
      <c r="U41">
        <f t="shared" si="27"/>
        <v>41</v>
      </c>
      <c r="V41">
        <v>5</v>
      </c>
      <c r="W41">
        <v>5</v>
      </c>
      <c r="X41">
        <v>11</v>
      </c>
      <c r="Y41">
        <v>14</v>
      </c>
      <c r="Z41">
        <f t="shared" si="28"/>
        <v>5</v>
      </c>
      <c r="AA41">
        <f t="shared" si="29"/>
        <v>5</v>
      </c>
      <c r="AB41">
        <f t="shared" si="30"/>
        <v>11</v>
      </c>
      <c r="AC41">
        <f t="shared" si="31"/>
        <v>14</v>
      </c>
      <c r="AD41">
        <v>2</v>
      </c>
      <c r="AE41">
        <v>0</v>
      </c>
      <c r="AF41" t="s">
        <v>134</v>
      </c>
      <c r="AG41">
        <v>0</v>
      </c>
      <c r="AH41">
        <f t="shared" si="32"/>
        <v>0</v>
      </c>
      <c r="AI41">
        <f t="shared" si="33"/>
        <v>0</v>
      </c>
      <c r="AJ41">
        <v>0</v>
      </c>
      <c r="AK41">
        <v>0</v>
      </c>
      <c r="AL41">
        <f t="shared" si="34"/>
        <v>0</v>
      </c>
      <c r="AM41">
        <f t="shared" si="35"/>
        <v>0</v>
      </c>
      <c r="AN41">
        <v>0</v>
      </c>
      <c r="AO41" t="s">
        <v>28</v>
      </c>
      <c r="AP41">
        <f t="shared" si="36"/>
        <v>0</v>
      </c>
      <c r="AQ41">
        <f t="shared" si="37"/>
        <v>0</v>
      </c>
      <c r="AR41" t="str">
        <f t="shared" si="38"/>
        <v>Empate</v>
      </c>
      <c r="AS41" s="3" t="str">
        <f t="shared" si="39"/>
        <v>Empate</v>
      </c>
    </row>
    <row r="42" spans="1:45" x14ac:dyDescent="0.3">
      <c r="A42" t="s">
        <v>156</v>
      </c>
      <c r="B42">
        <f t="shared" si="20"/>
        <v>2021</v>
      </c>
      <c r="C42" t="str">
        <f t="shared" si="21"/>
        <v>Sep</v>
      </c>
      <c r="D42" t="str" cm="1">
        <f t="array" ref="D42">_xlfn.IFS(OR(C42="Dec", C42="Jan", C42="Feb"), "Invierno", OR(C42="Mar", C42="Apr", C42="May"), "Primavera", OR(C42="Jun", C42="Jul", C42="Aug"), "Verano", OR(C42="Sep", C42="Oct", C42="Nov"), "Otoño")</f>
        <v>Otoño</v>
      </c>
      <c r="E42" t="s">
        <v>22</v>
      </c>
      <c r="F42" t="s">
        <v>38</v>
      </c>
      <c r="G42" t="s">
        <v>75</v>
      </c>
      <c r="H42" t="s">
        <v>25</v>
      </c>
      <c r="I42" t="s">
        <v>54</v>
      </c>
      <c r="J42">
        <v>13</v>
      </c>
      <c r="K42">
        <v>7</v>
      </c>
      <c r="L42">
        <f t="shared" si="22"/>
        <v>13</v>
      </c>
      <c r="M42">
        <f t="shared" si="23"/>
        <v>7</v>
      </c>
      <c r="N42">
        <v>0</v>
      </c>
      <c r="O42">
        <v>4</v>
      </c>
      <c r="P42">
        <f t="shared" si="24"/>
        <v>0</v>
      </c>
      <c r="Q42">
        <f t="shared" si="25"/>
        <v>4</v>
      </c>
      <c r="R42">
        <v>55</v>
      </c>
      <c r="S42">
        <v>45</v>
      </c>
      <c r="T42" s="10">
        <f t="shared" si="26"/>
        <v>55</v>
      </c>
      <c r="U42">
        <f t="shared" si="27"/>
        <v>45</v>
      </c>
      <c r="V42">
        <v>10</v>
      </c>
      <c r="W42">
        <v>3</v>
      </c>
      <c r="X42">
        <v>13</v>
      </c>
      <c r="Y42">
        <v>19</v>
      </c>
      <c r="Z42">
        <f t="shared" si="28"/>
        <v>10</v>
      </c>
      <c r="AA42">
        <f t="shared" si="29"/>
        <v>3</v>
      </c>
      <c r="AB42">
        <f t="shared" si="30"/>
        <v>13</v>
      </c>
      <c r="AC42">
        <f t="shared" si="31"/>
        <v>19</v>
      </c>
      <c r="AD42">
        <v>2</v>
      </c>
      <c r="AE42">
        <v>1</v>
      </c>
      <c r="AF42" t="s">
        <v>124</v>
      </c>
      <c r="AG42">
        <v>0</v>
      </c>
      <c r="AH42">
        <f t="shared" si="32"/>
        <v>0</v>
      </c>
      <c r="AI42">
        <f t="shared" si="33"/>
        <v>1</v>
      </c>
      <c r="AJ42">
        <v>1</v>
      </c>
      <c r="AK42">
        <v>1</v>
      </c>
      <c r="AL42">
        <f t="shared" si="34"/>
        <v>1</v>
      </c>
      <c r="AM42">
        <f t="shared" si="35"/>
        <v>1</v>
      </c>
      <c r="AN42">
        <v>1</v>
      </c>
      <c r="AO42" t="s">
        <v>51</v>
      </c>
      <c r="AP42">
        <f t="shared" si="36"/>
        <v>1</v>
      </c>
      <c r="AQ42">
        <f t="shared" si="37"/>
        <v>2</v>
      </c>
      <c r="AR42" t="str">
        <f t="shared" si="38"/>
        <v>Derrota</v>
      </c>
      <c r="AS42" s="3" t="str">
        <f t="shared" si="39"/>
        <v>Derrota ajustada</v>
      </c>
    </row>
    <row r="43" spans="1:45" x14ac:dyDescent="0.3">
      <c r="A43" t="s">
        <v>157</v>
      </c>
      <c r="B43">
        <f t="shared" si="20"/>
        <v>2021</v>
      </c>
      <c r="C43" t="str">
        <f t="shared" si="21"/>
        <v>Sep</v>
      </c>
      <c r="D43" t="str" cm="1">
        <f t="array" ref="D43">_xlfn.IFS(OR(C43="Dec", C43="Jan", C43="Feb"), "Invierno", OR(C43="Mar", C43="Apr", C43="May"), "Primavera", OR(C43="Jun", C43="Jul", C43="Aug"), "Verano", OR(C43="Sep", C43="Oct", C43="Nov"), "Otoño")</f>
        <v>Otoño</v>
      </c>
      <c r="E43" t="s">
        <v>22</v>
      </c>
      <c r="F43" t="s">
        <v>23</v>
      </c>
      <c r="G43" t="s">
        <v>158</v>
      </c>
      <c r="H43" t="s">
        <v>25</v>
      </c>
      <c r="I43" t="s">
        <v>113</v>
      </c>
      <c r="J43">
        <v>11</v>
      </c>
      <c r="K43">
        <v>10</v>
      </c>
      <c r="L43">
        <f t="shared" si="22"/>
        <v>10</v>
      </c>
      <c r="M43">
        <f t="shared" si="23"/>
        <v>11</v>
      </c>
      <c r="N43">
        <v>2</v>
      </c>
      <c r="O43">
        <v>1</v>
      </c>
      <c r="P43">
        <f t="shared" si="24"/>
        <v>1</v>
      </c>
      <c r="Q43">
        <f t="shared" si="25"/>
        <v>2</v>
      </c>
      <c r="R43">
        <v>42</v>
      </c>
      <c r="S43">
        <v>58</v>
      </c>
      <c r="T43" s="10">
        <f t="shared" si="26"/>
        <v>58</v>
      </c>
      <c r="U43">
        <f t="shared" si="27"/>
        <v>42</v>
      </c>
      <c r="V43">
        <v>6</v>
      </c>
      <c r="W43">
        <v>4</v>
      </c>
      <c r="X43">
        <v>21</v>
      </c>
      <c r="Y43">
        <v>13</v>
      </c>
      <c r="Z43">
        <f t="shared" si="28"/>
        <v>4</v>
      </c>
      <c r="AA43">
        <f t="shared" si="29"/>
        <v>6</v>
      </c>
      <c r="AB43">
        <f t="shared" si="30"/>
        <v>13</v>
      </c>
      <c r="AC43">
        <f t="shared" si="31"/>
        <v>21</v>
      </c>
      <c r="AD43">
        <v>2</v>
      </c>
      <c r="AE43">
        <v>1</v>
      </c>
      <c r="AF43" t="s">
        <v>159</v>
      </c>
      <c r="AG43">
        <v>0</v>
      </c>
      <c r="AH43">
        <f t="shared" si="32"/>
        <v>0</v>
      </c>
      <c r="AI43">
        <f t="shared" si="33"/>
        <v>0</v>
      </c>
      <c r="AJ43">
        <v>0</v>
      </c>
      <c r="AK43">
        <v>0</v>
      </c>
      <c r="AL43">
        <f t="shared" si="34"/>
        <v>1</v>
      </c>
      <c r="AM43">
        <f t="shared" si="35"/>
        <v>0</v>
      </c>
      <c r="AN43">
        <v>1</v>
      </c>
      <c r="AO43" t="s">
        <v>56</v>
      </c>
      <c r="AP43">
        <f t="shared" si="36"/>
        <v>1</v>
      </c>
      <c r="AQ43">
        <f t="shared" si="37"/>
        <v>0</v>
      </c>
      <c r="AR43" t="str">
        <f t="shared" si="38"/>
        <v>Victoria</v>
      </c>
      <c r="AS43" s="3" t="str">
        <f t="shared" si="39"/>
        <v>Victoria ajustada</v>
      </c>
    </row>
    <row r="44" spans="1:45" x14ac:dyDescent="0.3">
      <c r="A44" t="s">
        <v>160</v>
      </c>
      <c r="B44">
        <f t="shared" si="20"/>
        <v>2021</v>
      </c>
      <c r="C44" t="str">
        <f t="shared" si="21"/>
        <v>Sep</v>
      </c>
      <c r="D44" t="str" cm="1">
        <f t="array" ref="D44">_xlfn.IFS(OR(C44="Dec", C44="Jan", C44="Feb"), "Invierno", OR(C44="Mar", C44="Apr", C44="May"), "Primavera", OR(C44="Jun", C44="Jul", C44="Aug"), "Verano", OR(C44="Sep", C44="Oct", C44="Nov"), "Otoño")</f>
        <v>Otoño</v>
      </c>
      <c r="E44" t="s">
        <v>22</v>
      </c>
      <c r="F44" t="s">
        <v>38</v>
      </c>
      <c r="G44" t="s">
        <v>91</v>
      </c>
      <c r="H44" t="s">
        <v>25</v>
      </c>
      <c r="I44" t="s">
        <v>161</v>
      </c>
      <c r="J44">
        <v>14</v>
      </c>
      <c r="K44">
        <v>8</v>
      </c>
      <c r="L44">
        <f t="shared" si="22"/>
        <v>14</v>
      </c>
      <c r="M44">
        <f t="shared" si="23"/>
        <v>8</v>
      </c>
      <c r="N44">
        <v>0</v>
      </c>
      <c r="O44">
        <v>3</v>
      </c>
      <c r="P44">
        <f t="shared" si="24"/>
        <v>0</v>
      </c>
      <c r="Q44">
        <f t="shared" si="25"/>
        <v>3</v>
      </c>
      <c r="R44">
        <v>48</v>
      </c>
      <c r="S44">
        <v>52</v>
      </c>
      <c r="T44" s="10">
        <f t="shared" si="26"/>
        <v>48</v>
      </c>
      <c r="U44">
        <f t="shared" si="27"/>
        <v>52</v>
      </c>
      <c r="V44">
        <v>5</v>
      </c>
      <c r="W44">
        <v>5</v>
      </c>
      <c r="X44">
        <v>16</v>
      </c>
      <c r="Y44">
        <v>16</v>
      </c>
      <c r="Z44">
        <f t="shared" si="28"/>
        <v>5</v>
      </c>
      <c r="AA44">
        <f t="shared" si="29"/>
        <v>5</v>
      </c>
      <c r="AB44">
        <f t="shared" si="30"/>
        <v>16</v>
      </c>
      <c r="AC44">
        <f t="shared" si="31"/>
        <v>16</v>
      </c>
      <c r="AD44">
        <v>2</v>
      </c>
      <c r="AE44">
        <v>0</v>
      </c>
      <c r="AF44" t="s">
        <v>70</v>
      </c>
      <c r="AG44">
        <v>2</v>
      </c>
      <c r="AH44">
        <f t="shared" si="32"/>
        <v>2</v>
      </c>
      <c r="AI44">
        <f t="shared" si="33"/>
        <v>1</v>
      </c>
      <c r="AJ44">
        <v>1</v>
      </c>
      <c r="AK44">
        <v>0</v>
      </c>
      <c r="AL44">
        <f t="shared" si="34"/>
        <v>0</v>
      </c>
      <c r="AM44">
        <f t="shared" si="35"/>
        <v>0</v>
      </c>
      <c r="AN44">
        <v>0</v>
      </c>
      <c r="AO44" t="s">
        <v>35</v>
      </c>
      <c r="AP44">
        <f t="shared" si="36"/>
        <v>2</v>
      </c>
      <c r="AQ44">
        <f t="shared" si="37"/>
        <v>1</v>
      </c>
      <c r="AR44" t="str">
        <f t="shared" si="38"/>
        <v>Victoria</v>
      </c>
      <c r="AS44" s="3" t="str">
        <f t="shared" si="39"/>
        <v>Victoria ajustada</v>
      </c>
    </row>
    <row r="45" spans="1:45" x14ac:dyDescent="0.3">
      <c r="A45" t="s">
        <v>162</v>
      </c>
      <c r="B45">
        <f t="shared" si="20"/>
        <v>2021</v>
      </c>
      <c r="C45" t="str">
        <f t="shared" si="21"/>
        <v>Sep</v>
      </c>
      <c r="D45" t="str" cm="1">
        <f t="array" ref="D45">_xlfn.IFS(OR(C45="Dec", C45="Jan", C45="Feb"), "Invierno", OR(C45="Mar", C45="Apr", C45="May"), "Primavera", OR(C45="Jun", C45="Jul", C45="Aug"), "Verano", OR(C45="Sep", C45="Oct", C45="Nov"), "Otoño")</f>
        <v>Otoño</v>
      </c>
      <c r="E45" t="s">
        <v>62</v>
      </c>
      <c r="F45" t="s">
        <v>23</v>
      </c>
      <c r="G45" t="s">
        <v>58</v>
      </c>
      <c r="H45" t="s">
        <v>25</v>
      </c>
      <c r="I45" t="s">
        <v>88</v>
      </c>
      <c r="J45">
        <v>19</v>
      </c>
      <c r="K45">
        <v>21</v>
      </c>
      <c r="L45">
        <f t="shared" si="22"/>
        <v>21</v>
      </c>
      <c r="M45">
        <f t="shared" si="23"/>
        <v>19</v>
      </c>
      <c r="N45">
        <v>3</v>
      </c>
      <c r="O45">
        <v>4</v>
      </c>
      <c r="P45">
        <f t="shared" si="24"/>
        <v>4</v>
      </c>
      <c r="Q45">
        <f t="shared" si="25"/>
        <v>3</v>
      </c>
      <c r="R45">
        <v>49</v>
      </c>
      <c r="S45">
        <v>51</v>
      </c>
      <c r="T45" s="10">
        <f t="shared" si="26"/>
        <v>51</v>
      </c>
      <c r="U45">
        <f t="shared" si="27"/>
        <v>49</v>
      </c>
      <c r="V45">
        <v>4</v>
      </c>
      <c r="W45">
        <v>11</v>
      </c>
      <c r="X45">
        <v>13</v>
      </c>
      <c r="Y45">
        <v>11</v>
      </c>
      <c r="Z45">
        <f t="shared" si="28"/>
        <v>11</v>
      </c>
      <c r="AA45">
        <f t="shared" si="29"/>
        <v>4</v>
      </c>
      <c r="AB45">
        <f t="shared" si="30"/>
        <v>11</v>
      </c>
      <c r="AC45">
        <f t="shared" si="31"/>
        <v>13</v>
      </c>
      <c r="AD45">
        <v>0</v>
      </c>
      <c r="AE45">
        <v>1</v>
      </c>
      <c r="AF45" t="s">
        <v>93</v>
      </c>
      <c r="AG45">
        <v>1</v>
      </c>
      <c r="AH45">
        <f t="shared" si="32"/>
        <v>2</v>
      </c>
      <c r="AI45">
        <f t="shared" si="33"/>
        <v>1</v>
      </c>
      <c r="AJ45">
        <v>2</v>
      </c>
      <c r="AK45">
        <v>1</v>
      </c>
      <c r="AL45">
        <f t="shared" si="34"/>
        <v>0</v>
      </c>
      <c r="AM45">
        <f t="shared" si="35"/>
        <v>1</v>
      </c>
      <c r="AN45">
        <v>0</v>
      </c>
      <c r="AO45" t="s">
        <v>163</v>
      </c>
      <c r="AP45">
        <f t="shared" si="36"/>
        <v>2</v>
      </c>
      <c r="AQ45">
        <f t="shared" si="37"/>
        <v>2</v>
      </c>
      <c r="AR45" t="str">
        <f t="shared" si="38"/>
        <v>Empate</v>
      </c>
      <c r="AS45" s="3" t="str">
        <f t="shared" si="39"/>
        <v>Empate</v>
      </c>
    </row>
    <row r="46" spans="1:45" x14ac:dyDescent="0.3">
      <c r="A46" t="s">
        <v>164</v>
      </c>
      <c r="B46">
        <f t="shared" si="20"/>
        <v>2021</v>
      </c>
      <c r="C46" t="str">
        <f t="shared" si="21"/>
        <v>Oct</v>
      </c>
      <c r="D46" t="str" cm="1">
        <f t="array" ref="D46">_xlfn.IFS(OR(C46="Dec", C46="Jan", C46="Feb"), "Invierno", OR(C46="Mar", C46="Apr", C46="May"), "Primavera", OR(C46="Jun", C46="Jul", C46="Aug"), "Verano", OR(C46="Sep", C46="Oct", C46="Nov"), "Otoño")</f>
        <v>Otoño</v>
      </c>
      <c r="E46" t="s">
        <v>22</v>
      </c>
      <c r="F46" t="s">
        <v>38</v>
      </c>
      <c r="G46" t="s">
        <v>105</v>
      </c>
      <c r="H46" t="s">
        <v>25</v>
      </c>
      <c r="I46" t="s">
        <v>132</v>
      </c>
      <c r="J46">
        <v>17</v>
      </c>
      <c r="K46">
        <v>13</v>
      </c>
      <c r="L46">
        <f t="shared" si="22"/>
        <v>17</v>
      </c>
      <c r="M46">
        <f t="shared" si="23"/>
        <v>13</v>
      </c>
      <c r="N46">
        <v>4</v>
      </c>
      <c r="O46">
        <v>3</v>
      </c>
      <c r="P46">
        <f t="shared" si="24"/>
        <v>4</v>
      </c>
      <c r="Q46">
        <f t="shared" si="25"/>
        <v>3</v>
      </c>
      <c r="R46">
        <v>56</v>
      </c>
      <c r="S46">
        <v>44</v>
      </c>
      <c r="T46" s="10">
        <f t="shared" si="26"/>
        <v>56</v>
      </c>
      <c r="U46">
        <f t="shared" si="27"/>
        <v>44</v>
      </c>
      <c r="V46">
        <v>9</v>
      </c>
      <c r="W46">
        <v>5</v>
      </c>
      <c r="X46">
        <v>13</v>
      </c>
      <c r="Y46">
        <v>15</v>
      </c>
      <c r="Z46">
        <f t="shared" si="28"/>
        <v>9</v>
      </c>
      <c r="AA46">
        <f t="shared" si="29"/>
        <v>5</v>
      </c>
      <c r="AB46">
        <f t="shared" si="30"/>
        <v>13</v>
      </c>
      <c r="AC46">
        <f t="shared" si="31"/>
        <v>15</v>
      </c>
      <c r="AD46">
        <v>2</v>
      </c>
      <c r="AE46">
        <v>0</v>
      </c>
      <c r="AF46" t="s">
        <v>84</v>
      </c>
      <c r="AG46">
        <v>0</v>
      </c>
      <c r="AH46">
        <f t="shared" si="32"/>
        <v>0</v>
      </c>
      <c r="AI46">
        <f t="shared" si="33"/>
        <v>2</v>
      </c>
      <c r="AJ46">
        <v>2</v>
      </c>
      <c r="AK46">
        <v>2</v>
      </c>
      <c r="AL46">
        <f t="shared" si="34"/>
        <v>2</v>
      </c>
      <c r="AM46">
        <f t="shared" si="35"/>
        <v>1</v>
      </c>
      <c r="AN46">
        <v>1</v>
      </c>
      <c r="AO46" t="s">
        <v>163</v>
      </c>
      <c r="AP46">
        <f t="shared" si="36"/>
        <v>2</v>
      </c>
      <c r="AQ46">
        <f t="shared" si="37"/>
        <v>3</v>
      </c>
      <c r="AR46" t="str">
        <f t="shared" si="38"/>
        <v>Derrota</v>
      </c>
      <c r="AS46" s="3" t="str">
        <f t="shared" si="39"/>
        <v>Derrota ajustada</v>
      </c>
    </row>
    <row r="47" spans="1:45" x14ac:dyDescent="0.3">
      <c r="A47" t="s">
        <v>165</v>
      </c>
      <c r="B47">
        <f t="shared" si="20"/>
        <v>2021</v>
      </c>
      <c r="C47" t="str">
        <f t="shared" si="21"/>
        <v>Oct</v>
      </c>
      <c r="D47" t="str" cm="1">
        <f t="array" ref="D47">_xlfn.IFS(OR(C47="Dec", C47="Jan", C47="Feb"), "Invierno", OR(C47="Mar", C47="Apr", C47="May"), "Primavera", OR(C47="Jun", C47="Jul", C47="Aug"), "Verano", OR(C47="Sep", C47="Oct", C47="Nov"), "Otoño")</f>
        <v>Otoño</v>
      </c>
      <c r="E47" t="s">
        <v>30</v>
      </c>
      <c r="F47" t="s">
        <v>23</v>
      </c>
      <c r="G47" t="s">
        <v>166</v>
      </c>
      <c r="H47" t="s">
        <v>32</v>
      </c>
      <c r="I47" t="s">
        <v>26</v>
      </c>
      <c r="J47">
        <v>12</v>
      </c>
      <c r="K47">
        <v>22</v>
      </c>
      <c r="L47">
        <f t="shared" si="22"/>
        <v>22</v>
      </c>
      <c r="M47">
        <f t="shared" si="23"/>
        <v>12</v>
      </c>
      <c r="N47">
        <v>4</v>
      </c>
      <c r="O47">
        <v>3</v>
      </c>
      <c r="P47">
        <f t="shared" si="24"/>
        <v>3</v>
      </c>
      <c r="Q47">
        <f t="shared" si="25"/>
        <v>4</v>
      </c>
      <c r="R47">
        <v>48</v>
      </c>
      <c r="S47">
        <v>52</v>
      </c>
      <c r="T47" s="10">
        <f t="shared" si="26"/>
        <v>52</v>
      </c>
      <c r="U47">
        <f t="shared" si="27"/>
        <v>48</v>
      </c>
      <c r="V47">
        <v>5</v>
      </c>
      <c r="W47">
        <v>4</v>
      </c>
      <c r="X47">
        <v>10</v>
      </c>
      <c r="Y47">
        <v>16</v>
      </c>
      <c r="Z47">
        <f t="shared" si="28"/>
        <v>4</v>
      </c>
      <c r="AA47">
        <f t="shared" si="29"/>
        <v>5</v>
      </c>
      <c r="AB47">
        <f t="shared" si="30"/>
        <v>16</v>
      </c>
      <c r="AC47">
        <f t="shared" si="31"/>
        <v>10</v>
      </c>
      <c r="AD47">
        <v>6</v>
      </c>
      <c r="AE47">
        <v>2</v>
      </c>
      <c r="AF47" t="s">
        <v>167</v>
      </c>
      <c r="AG47">
        <v>1</v>
      </c>
      <c r="AH47">
        <f t="shared" si="32"/>
        <v>2</v>
      </c>
      <c r="AI47">
        <f t="shared" si="33"/>
        <v>1</v>
      </c>
      <c r="AJ47">
        <v>2</v>
      </c>
      <c r="AK47">
        <v>0</v>
      </c>
      <c r="AL47">
        <f t="shared" si="34"/>
        <v>2</v>
      </c>
      <c r="AM47">
        <f t="shared" si="35"/>
        <v>0</v>
      </c>
      <c r="AN47">
        <v>2</v>
      </c>
      <c r="AO47" t="s">
        <v>51</v>
      </c>
      <c r="AP47">
        <f t="shared" si="36"/>
        <v>4</v>
      </c>
      <c r="AQ47">
        <f t="shared" si="37"/>
        <v>1</v>
      </c>
      <c r="AR47" t="str">
        <f t="shared" si="38"/>
        <v>Victoria</v>
      </c>
      <c r="AS47" s="3" t="str">
        <f t="shared" si="39"/>
        <v>Victoria dominante</v>
      </c>
    </row>
    <row r="48" spans="1:45" x14ac:dyDescent="0.3">
      <c r="A48" t="s">
        <v>168</v>
      </c>
      <c r="B48">
        <f t="shared" si="20"/>
        <v>2021</v>
      </c>
      <c r="C48" t="str">
        <f t="shared" si="21"/>
        <v>Oct</v>
      </c>
      <c r="D48" t="str" cm="1">
        <f t="array" ref="D48">_xlfn.IFS(OR(C48="Dec", C48="Jan", C48="Feb"), "Invierno", OR(C48="Mar", C48="Apr", C48="May"), "Primavera", OR(C48="Jun", C48="Jul", C48="Aug"), "Verano", OR(C48="Sep", C48="Oct", C48="Nov"), "Otoño")</f>
        <v>Otoño</v>
      </c>
      <c r="E48" t="s">
        <v>37</v>
      </c>
      <c r="F48" t="s">
        <v>38</v>
      </c>
      <c r="G48" t="s">
        <v>73</v>
      </c>
      <c r="H48" t="s">
        <v>25</v>
      </c>
      <c r="I48" t="s">
        <v>59</v>
      </c>
      <c r="J48">
        <v>8</v>
      </c>
      <c r="K48">
        <v>9</v>
      </c>
      <c r="L48">
        <f t="shared" si="22"/>
        <v>8</v>
      </c>
      <c r="M48">
        <f t="shared" si="23"/>
        <v>9</v>
      </c>
      <c r="N48">
        <v>3</v>
      </c>
      <c r="O48">
        <v>2</v>
      </c>
      <c r="P48">
        <f t="shared" si="24"/>
        <v>3</v>
      </c>
      <c r="Q48">
        <f t="shared" si="25"/>
        <v>2</v>
      </c>
      <c r="R48">
        <v>67</v>
      </c>
      <c r="S48">
        <v>33</v>
      </c>
      <c r="T48" s="10">
        <f t="shared" si="26"/>
        <v>67</v>
      </c>
      <c r="U48">
        <f t="shared" si="27"/>
        <v>33</v>
      </c>
      <c r="V48">
        <v>6</v>
      </c>
      <c r="W48">
        <v>3</v>
      </c>
      <c r="X48">
        <v>15</v>
      </c>
      <c r="Y48">
        <v>15</v>
      </c>
      <c r="Z48">
        <f t="shared" si="28"/>
        <v>6</v>
      </c>
      <c r="AA48">
        <f t="shared" si="29"/>
        <v>3</v>
      </c>
      <c r="AB48">
        <f t="shared" si="30"/>
        <v>15</v>
      </c>
      <c r="AC48">
        <f t="shared" si="31"/>
        <v>15</v>
      </c>
      <c r="AD48">
        <v>1</v>
      </c>
      <c r="AE48">
        <v>0</v>
      </c>
      <c r="AF48" t="s">
        <v>103</v>
      </c>
      <c r="AG48">
        <v>0</v>
      </c>
      <c r="AH48">
        <f t="shared" si="32"/>
        <v>0</v>
      </c>
      <c r="AI48">
        <f t="shared" si="33"/>
        <v>0</v>
      </c>
      <c r="AJ48">
        <v>0</v>
      </c>
      <c r="AK48">
        <v>1</v>
      </c>
      <c r="AL48">
        <f t="shared" si="34"/>
        <v>1</v>
      </c>
      <c r="AM48">
        <f t="shared" si="35"/>
        <v>1</v>
      </c>
      <c r="AN48">
        <v>1</v>
      </c>
      <c r="AO48" t="s">
        <v>51</v>
      </c>
      <c r="AP48">
        <f t="shared" si="36"/>
        <v>1</v>
      </c>
      <c r="AQ48">
        <f t="shared" si="37"/>
        <v>1</v>
      </c>
      <c r="AR48" t="str">
        <f t="shared" si="38"/>
        <v>Empate</v>
      </c>
      <c r="AS48" s="3" t="str">
        <f t="shared" si="39"/>
        <v>Empate</v>
      </c>
    </row>
    <row r="49" spans="1:45" x14ac:dyDescent="0.3">
      <c r="A49" t="s">
        <v>169</v>
      </c>
      <c r="B49">
        <f t="shared" si="20"/>
        <v>2021</v>
      </c>
      <c r="C49" t="str">
        <f t="shared" si="21"/>
        <v>Oct</v>
      </c>
      <c r="D49" t="str" cm="1">
        <f t="array" ref="D49">_xlfn.IFS(OR(C49="Dec", C49="Jan", C49="Feb"), "Invierno", OR(C49="Mar", C49="Apr", C49="May"), "Primavera", OR(C49="Jun", C49="Jul", C49="Aug"), "Verano", OR(C49="Sep", C49="Oct", C49="Nov"), "Otoño")</f>
        <v>Otoño</v>
      </c>
      <c r="E49" t="s">
        <v>80</v>
      </c>
      <c r="F49" t="s">
        <v>23</v>
      </c>
      <c r="G49" t="s">
        <v>48</v>
      </c>
      <c r="H49" t="s">
        <v>25</v>
      </c>
      <c r="I49" t="s">
        <v>49</v>
      </c>
      <c r="J49">
        <v>8</v>
      </c>
      <c r="K49">
        <v>13</v>
      </c>
      <c r="L49">
        <f t="shared" si="22"/>
        <v>13</v>
      </c>
      <c r="M49">
        <f t="shared" si="23"/>
        <v>8</v>
      </c>
      <c r="N49">
        <v>2</v>
      </c>
      <c r="O49">
        <v>2</v>
      </c>
      <c r="P49">
        <f t="shared" si="24"/>
        <v>2</v>
      </c>
      <c r="Q49">
        <f t="shared" si="25"/>
        <v>2</v>
      </c>
      <c r="R49">
        <v>40</v>
      </c>
      <c r="S49">
        <v>60</v>
      </c>
      <c r="T49" s="10">
        <f t="shared" si="26"/>
        <v>60</v>
      </c>
      <c r="U49">
        <f t="shared" si="27"/>
        <v>40</v>
      </c>
      <c r="V49">
        <v>3</v>
      </c>
      <c r="W49">
        <v>3</v>
      </c>
      <c r="X49">
        <v>15</v>
      </c>
      <c r="Y49">
        <v>19</v>
      </c>
      <c r="Z49">
        <f t="shared" si="28"/>
        <v>3</v>
      </c>
      <c r="AA49">
        <f t="shared" si="29"/>
        <v>3</v>
      </c>
      <c r="AB49">
        <f t="shared" si="30"/>
        <v>19</v>
      </c>
      <c r="AC49">
        <f t="shared" si="31"/>
        <v>15</v>
      </c>
      <c r="AD49">
        <v>6</v>
      </c>
      <c r="AE49">
        <v>1</v>
      </c>
      <c r="AF49" t="s">
        <v>170</v>
      </c>
      <c r="AG49">
        <v>1</v>
      </c>
      <c r="AH49">
        <f t="shared" si="32"/>
        <v>2</v>
      </c>
      <c r="AI49">
        <f t="shared" si="33"/>
        <v>1</v>
      </c>
      <c r="AJ49">
        <v>2</v>
      </c>
      <c r="AK49">
        <v>0</v>
      </c>
      <c r="AL49">
        <f t="shared" si="34"/>
        <v>1</v>
      </c>
      <c r="AM49">
        <f t="shared" si="35"/>
        <v>0</v>
      </c>
      <c r="AN49">
        <v>1</v>
      </c>
      <c r="AO49" t="s">
        <v>171</v>
      </c>
      <c r="AP49">
        <f t="shared" si="36"/>
        <v>3</v>
      </c>
      <c r="AQ49">
        <f t="shared" si="37"/>
        <v>1</v>
      </c>
      <c r="AR49" t="str">
        <f t="shared" si="38"/>
        <v>Victoria</v>
      </c>
      <c r="AS49" s="3" t="str">
        <f t="shared" si="39"/>
        <v>Victoria dominante</v>
      </c>
    </row>
    <row r="50" spans="1:45" x14ac:dyDescent="0.3">
      <c r="A50" t="s">
        <v>172</v>
      </c>
      <c r="B50">
        <f t="shared" si="20"/>
        <v>2021</v>
      </c>
      <c r="C50" t="str">
        <f t="shared" si="21"/>
        <v>Oct</v>
      </c>
      <c r="D50" t="str" cm="1">
        <f t="array" ref="D50">_xlfn.IFS(OR(C50="Dec", C50="Jan", C50="Feb"), "Invierno", OR(C50="Mar", C50="Apr", C50="May"), "Primavera", OR(C50="Jun", C50="Jul", C50="Aug"), "Verano", OR(C50="Sep", C50="Oct", C50="Nov"), "Otoño")</f>
        <v>Otoño</v>
      </c>
      <c r="E50" t="s">
        <v>30</v>
      </c>
      <c r="F50" t="s">
        <v>38</v>
      </c>
      <c r="G50" t="s">
        <v>24</v>
      </c>
      <c r="H50" t="s">
        <v>25</v>
      </c>
      <c r="I50" t="s">
        <v>88</v>
      </c>
      <c r="J50">
        <v>17</v>
      </c>
      <c r="K50">
        <v>8</v>
      </c>
      <c r="L50">
        <f t="shared" si="22"/>
        <v>17</v>
      </c>
      <c r="M50">
        <f t="shared" si="23"/>
        <v>8</v>
      </c>
      <c r="N50">
        <v>3</v>
      </c>
      <c r="O50">
        <v>1</v>
      </c>
      <c r="P50">
        <f t="shared" si="24"/>
        <v>3</v>
      </c>
      <c r="Q50">
        <f t="shared" si="25"/>
        <v>1</v>
      </c>
      <c r="R50">
        <v>57</v>
      </c>
      <c r="S50">
        <v>43</v>
      </c>
      <c r="T50" s="10">
        <f t="shared" si="26"/>
        <v>57</v>
      </c>
      <c r="U50">
        <f t="shared" si="27"/>
        <v>43</v>
      </c>
      <c r="V50">
        <v>6</v>
      </c>
      <c r="W50">
        <v>2</v>
      </c>
      <c r="X50">
        <v>13</v>
      </c>
      <c r="Y50">
        <v>13</v>
      </c>
      <c r="Z50">
        <f t="shared" si="28"/>
        <v>6</v>
      </c>
      <c r="AA50">
        <f t="shared" si="29"/>
        <v>2</v>
      </c>
      <c r="AB50">
        <f t="shared" si="30"/>
        <v>13</v>
      </c>
      <c r="AC50">
        <f t="shared" si="31"/>
        <v>13</v>
      </c>
      <c r="AD50">
        <v>3</v>
      </c>
      <c r="AE50">
        <v>2</v>
      </c>
      <c r="AF50" t="s">
        <v>173</v>
      </c>
      <c r="AG50">
        <v>1</v>
      </c>
      <c r="AH50">
        <f t="shared" si="32"/>
        <v>1</v>
      </c>
      <c r="AI50">
        <f t="shared" si="33"/>
        <v>0</v>
      </c>
      <c r="AJ50">
        <v>0</v>
      </c>
      <c r="AK50">
        <v>2</v>
      </c>
      <c r="AL50">
        <f t="shared" si="34"/>
        <v>2</v>
      </c>
      <c r="AM50">
        <f t="shared" si="35"/>
        <v>1</v>
      </c>
      <c r="AN50">
        <v>1</v>
      </c>
      <c r="AO50" t="s">
        <v>28</v>
      </c>
      <c r="AP50">
        <f t="shared" si="36"/>
        <v>3</v>
      </c>
      <c r="AQ50">
        <f t="shared" si="37"/>
        <v>1</v>
      </c>
      <c r="AR50" t="str">
        <f t="shared" si="38"/>
        <v>Victoria</v>
      </c>
      <c r="AS50" s="3" t="str">
        <f t="shared" si="39"/>
        <v>Victoria dominante</v>
      </c>
    </row>
    <row r="51" spans="1:45" x14ac:dyDescent="0.3">
      <c r="A51" t="s">
        <v>174</v>
      </c>
      <c r="B51">
        <f t="shared" si="20"/>
        <v>2021</v>
      </c>
      <c r="C51" t="str">
        <f t="shared" si="21"/>
        <v>Nov</v>
      </c>
      <c r="D51" t="str" cm="1">
        <f t="array" ref="D51">_xlfn.IFS(OR(C51="Dec", C51="Jan", C51="Feb"), "Invierno", OR(C51="Mar", C51="Apr", C51="May"), "Primavera", OR(C51="Jun", C51="Jul", C51="Aug"), "Verano", OR(C51="Sep", C51="Oct", C51="Nov"), "Otoño")</f>
        <v>Otoño</v>
      </c>
      <c r="E51" t="s">
        <v>22</v>
      </c>
      <c r="F51" t="s">
        <v>23</v>
      </c>
      <c r="G51" t="s">
        <v>39</v>
      </c>
      <c r="H51" t="s">
        <v>25</v>
      </c>
      <c r="I51" t="s">
        <v>54</v>
      </c>
      <c r="J51">
        <v>7</v>
      </c>
      <c r="K51">
        <v>21</v>
      </c>
      <c r="L51">
        <f t="shared" si="22"/>
        <v>21</v>
      </c>
      <c r="M51">
        <f t="shared" si="23"/>
        <v>7</v>
      </c>
      <c r="N51">
        <v>6</v>
      </c>
      <c r="O51">
        <v>0</v>
      </c>
      <c r="P51">
        <f t="shared" si="24"/>
        <v>0</v>
      </c>
      <c r="Q51">
        <f t="shared" si="25"/>
        <v>6</v>
      </c>
      <c r="R51">
        <v>37</v>
      </c>
      <c r="S51">
        <v>63</v>
      </c>
      <c r="T51" s="10">
        <f t="shared" si="26"/>
        <v>63</v>
      </c>
      <c r="U51">
        <f t="shared" si="27"/>
        <v>37</v>
      </c>
      <c r="V51">
        <v>2</v>
      </c>
      <c r="W51">
        <v>7</v>
      </c>
      <c r="X51">
        <v>11</v>
      </c>
      <c r="Y51">
        <v>9</v>
      </c>
      <c r="Z51">
        <f t="shared" si="28"/>
        <v>7</v>
      </c>
      <c r="AA51">
        <f t="shared" si="29"/>
        <v>2</v>
      </c>
      <c r="AB51">
        <f t="shared" si="30"/>
        <v>9</v>
      </c>
      <c r="AC51">
        <f t="shared" si="31"/>
        <v>11</v>
      </c>
      <c r="AD51">
        <v>3</v>
      </c>
      <c r="AE51">
        <v>0</v>
      </c>
      <c r="AF51" t="s">
        <v>114</v>
      </c>
      <c r="AG51">
        <v>1</v>
      </c>
      <c r="AH51">
        <f t="shared" si="32"/>
        <v>2</v>
      </c>
      <c r="AI51">
        <f t="shared" si="33"/>
        <v>1</v>
      </c>
      <c r="AJ51">
        <v>2</v>
      </c>
      <c r="AK51">
        <v>0</v>
      </c>
      <c r="AL51">
        <f t="shared" si="34"/>
        <v>0</v>
      </c>
      <c r="AM51">
        <f t="shared" si="35"/>
        <v>0</v>
      </c>
      <c r="AN51">
        <v>0</v>
      </c>
      <c r="AO51" t="s">
        <v>56</v>
      </c>
      <c r="AP51">
        <f t="shared" si="36"/>
        <v>2</v>
      </c>
      <c r="AQ51">
        <f t="shared" si="37"/>
        <v>1</v>
      </c>
      <c r="AR51" t="str">
        <f t="shared" si="38"/>
        <v>Victoria</v>
      </c>
      <c r="AS51" s="3" t="str">
        <f t="shared" si="39"/>
        <v>Victoria ajustada</v>
      </c>
    </row>
    <row r="52" spans="1:45" x14ac:dyDescent="0.3">
      <c r="A52" t="s">
        <v>175</v>
      </c>
      <c r="B52">
        <f t="shared" si="20"/>
        <v>2021</v>
      </c>
      <c r="C52" t="str">
        <f t="shared" si="21"/>
        <v>Nov</v>
      </c>
      <c r="D52" t="str" cm="1">
        <f t="array" ref="D52">_xlfn.IFS(OR(C52="Dec", C52="Jan", C52="Feb"), "Invierno", OR(C52="Mar", C52="Apr", C52="May"), "Primavera", OR(C52="Jun", C52="Jul", C52="Aug"), "Verano", OR(C52="Sep", C52="Oct", C52="Nov"), "Otoño")</f>
        <v>Otoño</v>
      </c>
      <c r="E52" t="s">
        <v>30</v>
      </c>
      <c r="F52" t="s">
        <v>38</v>
      </c>
      <c r="G52" t="s">
        <v>63</v>
      </c>
      <c r="H52" t="s">
        <v>25</v>
      </c>
      <c r="I52" t="s">
        <v>40</v>
      </c>
      <c r="J52">
        <v>18</v>
      </c>
      <c r="K52">
        <v>10</v>
      </c>
      <c r="L52">
        <f t="shared" si="22"/>
        <v>18</v>
      </c>
      <c r="M52">
        <f t="shared" si="23"/>
        <v>10</v>
      </c>
      <c r="N52">
        <v>3</v>
      </c>
      <c r="O52">
        <v>4</v>
      </c>
      <c r="P52">
        <f t="shared" si="24"/>
        <v>3</v>
      </c>
      <c r="Q52">
        <f t="shared" si="25"/>
        <v>4</v>
      </c>
      <c r="R52">
        <v>51</v>
      </c>
      <c r="S52">
        <v>49</v>
      </c>
      <c r="T52" s="10">
        <f t="shared" si="26"/>
        <v>51</v>
      </c>
      <c r="U52">
        <f t="shared" si="27"/>
        <v>49</v>
      </c>
      <c r="V52">
        <v>0</v>
      </c>
      <c r="W52">
        <v>6</v>
      </c>
      <c r="X52">
        <v>10</v>
      </c>
      <c r="Y52">
        <v>11</v>
      </c>
      <c r="Z52">
        <f t="shared" si="28"/>
        <v>0</v>
      </c>
      <c r="AA52">
        <f t="shared" si="29"/>
        <v>6</v>
      </c>
      <c r="AB52">
        <f t="shared" si="30"/>
        <v>10</v>
      </c>
      <c r="AC52">
        <f t="shared" si="31"/>
        <v>11</v>
      </c>
      <c r="AD52">
        <v>2</v>
      </c>
      <c r="AE52">
        <v>1</v>
      </c>
      <c r="AF52" t="s">
        <v>176</v>
      </c>
      <c r="AG52">
        <v>3</v>
      </c>
      <c r="AH52">
        <f t="shared" si="32"/>
        <v>3</v>
      </c>
      <c r="AI52">
        <f t="shared" si="33"/>
        <v>1</v>
      </c>
      <c r="AJ52">
        <v>1</v>
      </c>
      <c r="AK52">
        <v>2</v>
      </c>
      <c r="AL52">
        <f t="shared" si="34"/>
        <v>2</v>
      </c>
      <c r="AM52">
        <f t="shared" si="35"/>
        <v>0</v>
      </c>
      <c r="AN52">
        <v>0</v>
      </c>
      <c r="AO52" t="s">
        <v>97</v>
      </c>
      <c r="AP52">
        <f t="shared" si="36"/>
        <v>5</v>
      </c>
      <c r="AQ52">
        <f t="shared" si="37"/>
        <v>1</v>
      </c>
      <c r="AR52" t="str">
        <f t="shared" si="38"/>
        <v>Victoria</v>
      </c>
      <c r="AS52" s="3" t="str">
        <f t="shared" si="39"/>
        <v>Victoria dominante</v>
      </c>
    </row>
    <row r="53" spans="1:45" x14ac:dyDescent="0.3">
      <c r="A53" t="s">
        <v>177</v>
      </c>
      <c r="B53">
        <f t="shared" si="20"/>
        <v>2021</v>
      </c>
      <c r="C53" t="str">
        <f t="shared" si="21"/>
        <v>Nov</v>
      </c>
      <c r="D53" t="str" cm="1">
        <f t="array" ref="D53">_xlfn.IFS(OR(C53="Dec", C53="Jan", C53="Feb"), "Invierno", OR(C53="Mar", C53="Apr", C53="May"), "Primavera", OR(C53="Jun", C53="Jul", C53="Aug"), "Verano", OR(C53="Sep", C53="Oct", C53="Nov"), "Otoño")</f>
        <v>Otoño</v>
      </c>
      <c r="E53" t="s">
        <v>62</v>
      </c>
      <c r="F53" t="s">
        <v>23</v>
      </c>
      <c r="G53" t="s">
        <v>351</v>
      </c>
      <c r="H53" t="s">
        <v>25</v>
      </c>
      <c r="I53" t="s">
        <v>113</v>
      </c>
      <c r="J53">
        <v>15</v>
      </c>
      <c r="K53">
        <v>7</v>
      </c>
      <c r="L53">
        <f t="shared" si="22"/>
        <v>7</v>
      </c>
      <c r="M53">
        <f t="shared" si="23"/>
        <v>15</v>
      </c>
      <c r="N53">
        <v>0</v>
      </c>
      <c r="O53">
        <v>2</v>
      </c>
      <c r="P53">
        <f t="shared" si="24"/>
        <v>2</v>
      </c>
      <c r="Q53">
        <f t="shared" si="25"/>
        <v>0</v>
      </c>
      <c r="R53">
        <v>59</v>
      </c>
      <c r="S53">
        <v>41</v>
      </c>
      <c r="T53" s="10">
        <f t="shared" si="26"/>
        <v>41</v>
      </c>
      <c r="U53">
        <f t="shared" si="27"/>
        <v>59</v>
      </c>
      <c r="V53">
        <v>6</v>
      </c>
      <c r="W53">
        <v>4</v>
      </c>
      <c r="X53">
        <v>13</v>
      </c>
      <c r="Y53">
        <v>20</v>
      </c>
      <c r="Z53">
        <f t="shared" si="28"/>
        <v>4</v>
      </c>
      <c r="AA53">
        <f t="shared" si="29"/>
        <v>6</v>
      </c>
      <c r="AB53">
        <f t="shared" si="30"/>
        <v>20</v>
      </c>
      <c r="AC53">
        <f t="shared" si="31"/>
        <v>13</v>
      </c>
      <c r="AD53">
        <v>1</v>
      </c>
      <c r="AE53">
        <v>0</v>
      </c>
      <c r="AF53" t="s">
        <v>178</v>
      </c>
      <c r="AG53">
        <v>0</v>
      </c>
      <c r="AH53">
        <f t="shared" si="32"/>
        <v>1</v>
      </c>
      <c r="AI53">
        <f t="shared" si="33"/>
        <v>0</v>
      </c>
      <c r="AJ53">
        <v>1</v>
      </c>
      <c r="AK53">
        <v>0</v>
      </c>
      <c r="AL53">
        <f t="shared" si="34"/>
        <v>0</v>
      </c>
      <c r="AM53">
        <f t="shared" si="35"/>
        <v>0</v>
      </c>
      <c r="AN53">
        <v>0</v>
      </c>
      <c r="AO53" t="s">
        <v>28</v>
      </c>
      <c r="AP53">
        <f t="shared" si="36"/>
        <v>1</v>
      </c>
      <c r="AQ53">
        <f t="shared" si="37"/>
        <v>0</v>
      </c>
      <c r="AR53" t="str">
        <f t="shared" si="38"/>
        <v>Victoria</v>
      </c>
      <c r="AS53" s="3" t="str">
        <f t="shared" si="39"/>
        <v>Victoria ajustada</v>
      </c>
    </row>
    <row r="54" spans="1:45" x14ac:dyDescent="0.3">
      <c r="A54" t="s">
        <v>179</v>
      </c>
      <c r="B54">
        <f t="shared" si="20"/>
        <v>2021</v>
      </c>
      <c r="C54" t="str">
        <f t="shared" si="21"/>
        <v>Nov</v>
      </c>
      <c r="D54" t="str" cm="1">
        <f t="array" ref="D54">_xlfn.IFS(OR(C54="Dec", C54="Jan", C54="Feb"), "Invierno", OR(C54="Mar", C54="Apr", C54="May"), "Primavera", OR(C54="Jun", C54="Jul", C54="Aug"), "Verano", OR(C54="Sep", C54="Oct", C54="Nov"), "Otoño")</f>
        <v>Otoño</v>
      </c>
      <c r="E54" t="s">
        <v>80</v>
      </c>
      <c r="F54" t="s">
        <v>38</v>
      </c>
      <c r="G54" t="s">
        <v>359</v>
      </c>
      <c r="H54" t="s">
        <v>32</v>
      </c>
      <c r="I54" t="s">
        <v>180</v>
      </c>
      <c r="J54">
        <v>19</v>
      </c>
      <c r="K54">
        <v>8</v>
      </c>
      <c r="L54">
        <f t="shared" si="22"/>
        <v>19</v>
      </c>
      <c r="M54">
        <f t="shared" si="23"/>
        <v>8</v>
      </c>
      <c r="N54">
        <v>4</v>
      </c>
      <c r="O54">
        <v>2</v>
      </c>
      <c r="P54">
        <f t="shared" si="24"/>
        <v>4</v>
      </c>
      <c r="Q54">
        <f t="shared" si="25"/>
        <v>2</v>
      </c>
      <c r="R54">
        <v>59</v>
      </c>
      <c r="S54">
        <v>41</v>
      </c>
      <c r="T54" s="10">
        <f t="shared" si="26"/>
        <v>59</v>
      </c>
      <c r="U54">
        <f t="shared" si="27"/>
        <v>41</v>
      </c>
      <c r="V54">
        <v>4</v>
      </c>
      <c r="W54">
        <v>2</v>
      </c>
      <c r="X54">
        <v>11</v>
      </c>
      <c r="Y54">
        <v>9</v>
      </c>
      <c r="Z54">
        <f t="shared" si="28"/>
        <v>4</v>
      </c>
      <c r="AA54">
        <f t="shared" si="29"/>
        <v>2</v>
      </c>
      <c r="AB54">
        <f t="shared" si="30"/>
        <v>11</v>
      </c>
      <c r="AC54">
        <f t="shared" si="31"/>
        <v>9</v>
      </c>
      <c r="AD54">
        <v>2</v>
      </c>
      <c r="AE54">
        <v>3</v>
      </c>
      <c r="AF54" t="s">
        <v>181</v>
      </c>
      <c r="AG54">
        <v>2</v>
      </c>
      <c r="AH54">
        <f t="shared" si="32"/>
        <v>2</v>
      </c>
      <c r="AI54">
        <f t="shared" si="33"/>
        <v>0</v>
      </c>
      <c r="AJ54">
        <v>0</v>
      </c>
      <c r="AK54">
        <v>2</v>
      </c>
      <c r="AL54">
        <f t="shared" si="34"/>
        <v>2</v>
      </c>
      <c r="AM54">
        <f t="shared" si="35"/>
        <v>0</v>
      </c>
      <c r="AN54">
        <v>0</v>
      </c>
      <c r="AO54" t="s">
        <v>97</v>
      </c>
      <c r="AP54">
        <f t="shared" si="36"/>
        <v>4</v>
      </c>
      <c r="AQ54">
        <f t="shared" si="37"/>
        <v>0</v>
      </c>
      <c r="AR54" t="str">
        <f t="shared" si="38"/>
        <v>Victoria</v>
      </c>
      <c r="AS54" s="3" t="str">
        <f t="shared" si="39"/>
        <v>Victoria dominante</v>
      </c>
    </row>
    <row r="55" spans="1:45" x14ac:dyDescent="0.3">
      <c r="A55" t="s">
        <v>182</v>
      </c>
      <c r="B55">
        <f t="shared" si="20"/>
        <v>2021</v>
      </c>
      <c r="C55" t="str">
        <f t="shared" si="21"/>
        <v>Dec</v>
      </c>
      <c r="D55" t="str" cm="1">
        <f t="array" ref="D55">_xlfn.IFS(OR(C55="Dec", C55="Jan", C55="Feb"), "Invierno", OR(C55="Mar", C55="Apr", C55="May"), "Primavera", OR(C55="Jun", C55="Jul", C55="Aug"), "Verano", OR(C55="Sep", C55="Oct", C55="Nov"), "Otoño")</f>
        <v>Invierno</v>
      </c>
      <c r="E55" t="s">
        <v>22</v>
      </c>
      <c r="F55" t="s">
        <v>23</v>
      </c>
      <c r="G55" t="s">
        <v>44</v>
      </c>
      <c r="H55" t="s">
        <v>25</v>
      </c>
      <c r="I55" t="s">
        <v>132</v>
      </c>
      <c r="J55">
        <v>15</v>
      </c>
      <c r="K55">
        <v>21</v>
      </c>
      <c r="L55">
        <f t="shared" si="22"/>
        <v>21</v>
      </c>
      <c r="M55">
        <f t="shared" si="23"/>
        <v>15</v>
      </c>
      <c r="N55">
        <v>4</v>
      </c>
      <c r="O55">
        <v>2</v>
      </c>
      <c r="P55">
        <f t="shared" si="24"/>
        <v>2</v>
      </c>
      <c r="Q55">
        <f t="shared" si="25"/>
        <v>4</v>
      </c>
      <c r="R55">
        <v>55</v>
      </c>
      <c r="S55">
        <v>45</v>
      </c>
      <c r="T55" s="10">
        <f t="shared" si="26"/>
        <v>45</v>
      </c>
      <c r="U55">
        <f t="shared" si="27"/>
        <v>55</v>
      </c>
      <c r="V55">
        <v>6</v>
      </c>
      <c r="W55">
        <v>7</v>
      </c>
      <c r="X55">
        <v>16</v>
      </c>
      <c r="Y55">
        <v>18</v>
      </c>
      <c r="Z55">
        <f t="shared" si="28"/>
        <v>7</v>
      </c>
      <c r="AA55">
        <f t="shared" si="29"/>
        <v>6</v>
      </c>
      <c r="AB55">
        <f t="shared" si="30"/>
        <v>18</v>
      </c>
      <c r="AC55">
        <f t="shared" si="31"/>
        <v>16</v>
      </c>
      <c r="AD55">
        <v>0</v>
      </c>
      <c r="AE55">
        <v>0</v>
      </c>
      <c r="AF55" t="s">
        <v>77</v>
      </c>
      <c r="AG55">
        <v>1</v>
      </c>
      <c r="AH55">
        <f t="shared" si="32"/>
        <v>1</v>
      </c>
      <c r="AI55">
        <f t="shared" si="33"/>
        <v>1</v>
      </c>
      <c r="AJ55">
        <v>1</v>
      </c>
      <c r="AK55">
        <v>1</v>
      </c>
      <c r="AL55">
        <f t="shared" si="34"/>
        <v>2</v>
      </c>
      <c r="AM55">
        <f t="shared" si="35"/>
        <v>1</v>
      </c>
      <c r="AN55">
        <v>2</v>
      </c>
      <c r="AO55" t="s">
        <v>107</v>
      </c>
      <c r="AP55">
        <f t="shared" si="36"/>
        <v>3</v>
      </c>
      <c r="AQ55">
        <f t="shared" si="37"/>
        <v>2</v>
      </c>
      <c r="AR55" t="str">
        <f t="shared" si="38"/>
        <v>Victoria</v>
      </c>
      <c r="AS55" s="3" t="str">
        <f t="shared" si="39"/>
        <v>Victoria ajustada</v>
      </c>
    </row>
    <row r="56" spans="1:45" x14ac:dyDescent="0.3">
      <c r="A56" t="s">
        <v>183</v>
      </c>
      <c r="B56">
        <f t="shared" si="20"/>
        <v>2021</v>
      </c>
      <c r="C56" t="str">
        <f t="shared" si="21"/>
        <v>Dec</v>
      </c>
      <c r="D56" t="str" cm="1">
        <f t="array" ref="D56">_xlfn.IFS(OR(C56="Dec", C56="Jan", C56="Feb"), "Invierno", OR(C56="Mar", C56="Apr", C56="May"), "Primavera", OR(C56="Jun", C56="Jul", C56="Aug"), "Verano", OR(C56="Sep", C56="Oct", C56="Nov"), "Otoño")</f>
        <v>Invierno</v>
      </c>
      <c r="E56" t="s">
        <v>30</v>
      </c>
      <c r="F56" t="s">
        <v>23</v>
      </c>
      <c r="G56" t="s">
        <v>68</v>
      </c>
      <c r="H56" t="s">
        <v>25</v>
      </c>
      <c r="I56" t="s">
        <v>54</v>
      </c>
      <c r="J56">
        <v>19</v>
      </c>
      <c r="K56">
        <v>14</v>
      </c>
      <c r="L56">
        <f t="shared" si="22"/>
        <v>14</v>
      </c>
      <c r="M56">
        <f t="shared" si="23"/>
        <v>19</v>
      </c>
      <c r="N56">
        <v>4</v>
      </c>
      <c r="O56">
        <v>2</v>
      </c>
      <c r="P56">
        <f t="shared" si="24"/>
        <v>2</v>
      </c>
      <c r="Q56">
        <f t="shared" si="25"/>
        <v>4</v>
      </c>
      <c r="R56">
        <v>53</v>
      </c>
      <c r="S56">
        <v>47</v>
      </c>
      <c r="T56" s="10">
        <f t="shared" si="26"/>
        <v>47</v>
      </c>
      <c r="U56">
        <f t="shared" si="27"/>
        <v>53</v>
      </c>
      <c r="V56">
        <v>6</v>
      </c>
      <c r="W56">
        <v>6</v>
      </c>
      <c r="X56">
        <v>13</v>
      </c>
      <c r="Y56">
        <v>10</v>
      </c>
      <c r="Z56">
        <f t="shared" si="28"/>
        <v>6</v>
      </c>
      <c r="AA56">
        <f t="shared" si="29"/>
        <v>6</v>
      </c>
      <c r="AB56">
        <f t="shared" si="30"/>
        <v>10</v>
      </c>
      <c r="AC56">
        <f t="shared" si="31"/>
        <v>13</v>
      </c>
      <c r="AD56">
        <v>1</v>
      </c>
      <c r="AE56">
        <v>2</v>
      </c>
      <c r="AF56" t="s">
        <v>96</v>
      </c>
      <c r="AG56">
        <v>1</v>
      </c>
      <c r="AH56">
        <f t="shared" si="32"/>
        <v>1</v>
      </c>
      <c r="AI56">
        <f t="shared" si="33"/>
        <v>1</v>
      </c>
      <c r="AJ56">
        <v>1</v>
      </c>
      <c r="AK56">
        <v>0</v>
      </c>
      <c r="AL56">
        <f t="shared" si="34"/>
        <v>1</v>
      </c>
      <c r="AM56">
        <f t="shared" si="35"/>
        <v>0</v>
      </c>
      <c r="AN56">
        <v>1</v>
      </c>
      <c r="AO56" t="s">
        <v>51</v>
      </c>
      <c r="AP56">
        <f t="shared" si="36"/>
        <v>2</v>
      </c>
      <c r="AQ56">
        <f t="shared" si="37"/>
        <v>1</v>
      </c>
      <c r="AR56" t="str">
        <f t="shared" si="38"/>
        <v>Victoria</v>
      </c>
      <c r="AS56" s="3" t="str">
        <f t="shared" si="39"/>
        <v>Victoria ajustada</v>
      </c>
    </row>
    <row r="57" spans="1:45" x14ac:dyDescent="0.3">
      <c r="A57" t="s">
        <v>184</v>
      </c>
      <c r="B57">
        <f t="shared" si="20"/>
        <v>2021</v>
      </c>
      <c r="C57" t="str">
        <f t="shared" si="21"/>
        <v>Dec</v>
      </c>
      <c r="D57" t="str" cm="1">
        <f t="array" ref="D57">_xlfn.IFS(OR(C57="Dec", C57="Jan", C57="Feb"), "Invierno", OR(C57="Mar", C57="Apr", C57="May"), "Primavera", OR(C57="Jun", C57="Jul", C57="Aug"), "Verano", OR(C57="Sep", C57="Oct", C57="Nov"), "Otoño")</f>
        <v>Invierno</v>
      </c>
      <c r="E57" t="s">
        <v>30</v>
      </c>
      <c r="F57" t="s">
        <v>38</v>
      </c>
      <c r="G57" t="s">
        <v>83</v>
      </c>
      <c r="H57" t="s">
        <v>25</v>
      </c>
      <c r="I57" t="s">
        <v>26</v>
      </c>
      <c r="J57">
        <v>17</v>
      </c>
      <c r="K57">
        <v>8</v>
      </c>
      <c r="L57">
        <f t="shared" si="22"/>
        <v>17</v>
      </c>
      <c r="M57">
        <f t="shared" si="23"/>
        <v>8</v>
      </c>
      <c r="N57">
        <v>1</v>
      </c>
      <c r="O57">
        <v>6</v>
      </c>
      <c r="P57">
        <f t="shared" si="24"/>
        <v>1</v>
      </c>
      <c r="Q57">
        <f t="shared" si="25"/>
        <v>6</v>
      </c>
      <c r="R57">
        <v>71</v>
      </c>
      <c r="S57">
        <v>29</v>
      </c>
      <c r="T57" s="10">
        <f t="shared" si="26"/>
        <v>71</v>
      </c>
      <c r="U57">
        <f t="shared" si="27"/>
        <v>29</v>
      </c>
      <c r="V57">
        <v>10</v>
      </c>
      <c r="W57">
        <v>0</v>
      </c>
      <c r="X57">
        <v>11</v>
      </c>
      <c r="Y57">
        <v>16</v>
      </c>
      <c r="Z57">
        <f t="shared" si="28"/>
        <v>10</v>
      </c>
      <c r="AA57">
        <f t="shared" si="29"/>
        <v>0</v>
      </c>
      <c r="AB57">
        <f t="shared" si="30"/>
        <v>11</v>
      </c>
      <c r="AC57">
        <f t="shared" si="31"/>
        <v>16</v>
      </c>
      <c r="AD57">
        <v>3</v>
      </c>
      <c r="AE57">
        <v>2</v>
      </c>
      <c r="AF57" t="s">
        <v>34</v>
      </c>
      <c r="AG57">
        <v>0</v>
      </c>
      <c r="AH57">
        <f t="shared" si="32"/>
        <v>0</v>
      </c>
      <c r="AI57">
        <f t="shared" si="33"/>
        <v>2</v>
      </c>
      <c r="AJ57">
        <v>2</v>
      </c>
      <c r="AK57">
        <v>1</v>
      </c>
      <c r="AL57">
        <f t="shared" si="34"/>
        <v>1</v>
      </c>
      <c r="AM57">
        <f t="shared" si="35"/>
        <v>2</v>
      </c>
      <c r="AN57">
        <v>2</v>
      </c>
      <c r="AO57" t="s">
        <v>137</v>
      </c>
      <c r="AP57">
        <f t="shared" si="36"/>
        <v>1</v>
      </c>
      <c r="AQ57">
        <f t="shared" si="37"/>
        <v>4</v>
      </c>
      <c r="AR57" t="str">
        <f t="shared" si="38"/>
        <v>Derrota</v>
      </c>
      <c r="AS57" s="3" t="str">
        <f t="shared" si="39"/>
        <v>Derrota ajustada</v>
      </c>
    </row>
    <row r="58" spans="1:45" x14ac:dyDescent="0.3">
      <c r="A58" t="s">
        <v>185</v>
      </c>
      <c r="B58">
        <f t="shared" si="20"/>
        <v>2021</v>
      </c>
      <c r="C58" t="str">
        <f t="shared" si="21"/>
        <v>Dec</v>
      </c>
      <c r="D58" t="str" cm="1">
        <f t="array" ref="D58">_xlfn.IFS(OR(C58="Dec", C58="Jan", C58="Feb"), "Invierno", OR(C58="Mar", C58="Apr", C58="May"), "Primavera", OR(C58="Jun", C58="Jul", C58="Aug"), "Verano", OR(C58="Sep", C58="Oct", C58="Nov"), "Otoño")</f>
        <v>Invierno</v>
      </c>
      <c r="E58" t="s">
        <v>22</v>
      </c>
      <c r="F58" t="s">
        <v>23</v>
      </c>
      <c r="G58" t="s">
        <v>102</v>
      </c>
      <c r="H58" t="s">
        <v>25</v>
      </c>
      <c r="I58" t="s">
        <v>64</v>
      </c>
      <c r="J58">
        <v>1</v>
      </c>
      <c r="K58">
        <v>14</v>
      </c>
      <c r="L58">
        <f t="shared" si="22"/>
        <v>14</v>
      </c>
      <c r="M58">
        <f t="shared" si="23"/>
        <v>1</v>
      </c>
      <c r="N58">
        <v>3</v>
      </c>
      <c r="O58">
        <v>3</v>
      </c>
      <c r="P58">
        <f t="shared" si="24"/>
        <v>3</v>
      </c>
      <c r="Q58">
        <f t="shared" si="25"/>
        <v>3</v>
      </c>
      <c r="R58">
        <v>46</v>
      </c>
      <c r="S58">
        <v>54</v>
      </c>
      <c r="T58" s="10">
        <f t="shared" si="26"/>
        <v>54</v>
      </c>
      <c r="U58">
        <f t="shared" si="27"/>
        <v>46</v>
      </c>
      <c r="V58">
        <v>3</v>
      </c>
      <c r="W58">
        <v>7</v>
      </c>
      <c r="X58">
        <v>13</v>
      </c>
      <c r="Y58">
        <v>11</v>
      </c>
      <c r="Z58">
        <f t="shared" si="28"/>
        <v>7</v>
      </c>
      <c r="AA58">
        <f t="shared" si="29"/>
        <v>3</v>
      </c>
      <c r="AB58">
        <f t="shared" si="30"/>
        <v>11</v>
      </c>
      <c r="AC58">
        <f t="shared" si="31"/>
        <v>13</v>
      </c>
      <c r="AD58">
        <v>3</v>
      </c>
      <c r="AE58">
        <v>2</v>
      </c>
      <c r="AF58" t="s">
        <v>186</v>
      </c>
      <c r="AG58">
        <v>0</v>
      </c>
      <c r="AH58">
        <f t="shared" si="32"/>
        <v>0</v>
      </c>
      <c r="AI58">
        <f t="shared" si="33"/>
        <v>0</v>
      </c>
      <c r="AJ58">
        <v>0</v>
      </c>
      <c r="AK58">
        <v>0</v>
      </c>
      <c r="AL58">
        <f t="shared" si="34"/>
        <v>0</v>
      </c>
      <c r="AM58">
        <f t="shared" si="35"/>
        <v>0</v>
      </c>
      <c r="AN58">
        <v>0</v>
      </c>
      <c r="AO58" t="s">
        <v>111</v>
      </c>
      <c r="AP58">
        <f t="shared" si="36"/>
        <v>0</v>
      </c>
      <c r="AQ58">
        <f t="shared" si="37"/>
        <v>0</v>
      </c>
      <c r="AR58" t="str">
        <f t="shared" si="38"/>
        <v>Empate</v>
      </c>
      <c r="AS58" s="3" t="str">
        <f t="shared" si="39"/>
        <v>Empate</v>
      </c>
    </row>
    <row r="59" spans="1:45" x14ac:dyDescent="0.3">
      <c r="A59" t="s">
        <v>187</v>
      </c>
      <c r="B59">
        <f t="shared" si="20"/>
        <v>2022</v>
      </c>
      <c r="C59" t="str">
        <f t="shared" si="21"/>
        <v>Apr</v>
      </c>
      <c r="D59" t="str" cm="1">
        <f t="array" ref="D59">_xlfn.IFS(OR(C59="Dec", C59="Jan", C59="Feb"), "Invierno", OR(C59="Mar", C59="Apr", C59="May"), "Primavera", OR(C59="Jun", C59="Jul", C59="Aug"), "Verano", OR(C59="Sep", C59="Oct", C59="Nov"), "Otoño")</f>
        <v>Primavera</v>
      </c>
      <c r="E59" t="s">
        <v>188</v>
      </c>
      <c r="F59" t="s">
        <v>38</v>
      </c>
      <c r="G59" t="s">
        <v>31</v>
      </c>
      <c r="H59" t="s">
        <v>32</v>
      </c>
      <c r="I59" t="s">
        <v>189</v>
      </c>
      <c r="J59">
        <v>16</v>
      </c>
      <c r="K59">
        <v>5</v>
      </c>
      <c r="L59">
        <f t="shared" si="22"/>
        <v>16</v>
      </c>
      <c r="M59">
        <f t="shared" si="23"/>
        <v>5</v>
      </c>
      <c r="N59">
        <v>1</v>
      </c>
      <c r="O59">
        <v>1</v>
      </c>
      <c r="P59">
        <f t="shared" si="24"/>
        <v>1</v>
      </c>
      <c r="Q59">
        <f t="shared" si="25"/>
        <v>1</v>
      </c>
      <c r="R59">
        <v>50</v>
      </c>
      <c r="S59">
        <v>50</v>
      </c>
      <c r="T59" s="10">
        <f t="shared" si="26"/>
        <v>50</v>
      </c>
      <c r="U59">
        <f t="shared" si="27"/>
        <v>50</v>
      </c>
      <c r="V59">
        <v>8</v>
      </c>
      <c r="W59">
        <v>0</v>
      </c>
      <c r="X59">
        <v>12</v>
      </c>
      <c r="Y59">
        <v>11</v>
      </c>
      <c r="Z59">
        <f t="shared" si="28"/>
        <v>8</v>
      </c>
      <c r="AA59">
        <f t="shared" si="29"/>
        <v>0</v>
      </c>
      <c r="AB59">
        <f t="shared" si="30"/>
        <v>12</v>
      </c>
      <c r="AC59">
        <f t="shared" si="31"/>
        <v>11</v>
      </c>
      <c r="AD59">
        <v>2</v>
      </c>
      <c r="AE59">
        <v>1</v>
      </c>
      <c r="AF59" t="s">
        <v>176</v>
      </c>
      <c r="AG59">
        <v>2</v>
      </c>
      <c r="AH59">
        <f t="shared" si="32"/>
        <v>2</v>
      </c>
      <c r="AI59">
        <f t="shared" si="33"/>
        <v>2</v>
      </c>
      <c r="AJ59">
        <v>2</v>
      </c>
      <c r="AK59">
        <v>2</v>
      </c>
      <c r="AL59">
        <f t="shared" si="34"/>
        <v>2</v>
      </c>
      <c r="AM59">
        <f t="shared" si="35"/>
        <v>2</v>
      </c>
      <c r="AN59">
        <v>2</v>
      </c>
      <c r="AO59" t="s">
        <v>141</v>
      </c>
      <c r="AP59">
        <f t="shared" si="36"/>
        <v>4</v>
      </c>
      <c r="AQ59">
        <f t="shared" si="37"/>
        <v>4</v>
      </c>
      <c r="AR59" t="str">
        <f t="shared" si="38"/>
        <v>Empate</v>
      </c>
      <c r="AS59" s="3" t="str">
        <f t="shared" si="39"/>
        <v>Empate</v>
      </c>
    </row>
    <row r="60" spans="1:45" x14ac:dyDescent="0.3">
      <c r="A60" t="s">
        <v>190</v>
      </c>
      <c r="B60">
        <f t="shared" si="20"/>
        <v>2022</v>
      </c>
      <c r="C60" t="str">
        <f t="shared" si="21"/>
        <v>Jan</v>
      </c>
      <c r="D60" t="str" cm="1">
        <f t="array" ref="D60">_xlfn.IFS(OR(C60="Dec", C60="Jan", C60="Feb"), "Invierno", OR(C60="Mar", C60="Apr", C60="May"), "Primavera", OR(C60="Jun", C60="Jul", C60="Aug"), "Verano", OR(C60="Sep", C60="Oct", C60="Nov"), "Otoño")</f>
        <v>Invierno</v>
      </c>
      <c r="E60" t="s">
        <v>191</v>
      </c>
      <c r="F60" t="s">
        <v>23</v>
      </c>
      <c r="G60" t="s">
        <v>73</v>
      </c>
      <c r="H60" t="s">
        <v>25</v>
      </c>
      <c r="I60" t="s">
        <v>192</v>
      </c>
      <c r="J60">
        <v>8</v>
      </c>
      <c r="K60">
        <v>21</v>
      </c>
      <c r="L60">
        <f t="shared" si="22"/>
        <v>21</v>
      </c>
      <c r="M60">
        <f t="shared" si="23"/>
        <v>8</v>
      </c>
      <c r="N60">
        <v>1</v>
      </c>
      <c r="O60">
        <v>3</v>
      </c>
      <c r="P60">
        <f t="shared" si="24"/>
        <v>3</v>
      </c>
      <c r="Q60">
        <f t="shared" si="25"/>
        <v>1</v>
      </c>
      <c r="R60">
        <v>39</v>
      </c>
      <c r="S60">
        <v>61</v>
      </c>
      <c r="T60" s="10">
        <f t="shared" si="26"/>
        <v>61</v>
      </c>
      <c r="U60">
        <f t="shared" si="27"/>
        <v>39</v>
      </c>
      <c r="V60">
        <v>2</v>
      </c>
      <c r="W60">
        <v>5</v>
      </c>
      <c r="X60">
        <v>9</v>
      </c>
      <c r="Y60">
        <v>12</v>
      </c>
      <c r="Z60">
        <f t="shared" si="28"/>
        <v>5</v>
      </c>
      <c r="AA60">
        <f t="shared" si="29"/>
        <v>2</v>
      </c>
      <c r="AB60">
        <f t="shared" si="30"/>
        <v>12</v>
      </c>
      <c r="AC60">
        <f t="shared" si="31"/>
        <v>9</v>
      </c>
      <c r="AD60">
        <v>2</v>
      </c>
      <c r="AE60">
        <v>1</v>
      </c>
      <c r="AF60" t="s">
        <v>140</v>
      </c>
      <c r="AG60">
        <v>0</v>
      </c>
      <c r="AH60">
        <f t="shared" si="32"/>
        <v>3</v>
      </c>
      <c r="AI60">
        <f t="shared" si="33"/>
        <v>0</v>
      </c>
      <c r="AJ60">
        <v>3</v>
      </c>
      <c r="AK60">
        <v>2</v>
      </c>
      <c r="AL60">
        <f t="shared" si="34"/>
        <v>3</v>
      </c>
      <c r="AM60">
        <f t="shared" si="35"/>
        <v>2</v>
      </c>
      <c r="AN60">
        <v>3</v>
      </c>
      <c r="AO60" t="s">
        <v>42</v>
      </c>
      <c r="AP60">
        <f t="shared" si="36"/>
        <v>6</v>
      </c>
      <c r="AQ60">
        <f t="shared" si="37"/>
        <v>2</v>
      </c>
      <c r="AR60" t="str">
        <f t="shared" si="38"/>
        <v>Victoria</v>
      </c>
      <c r="AS60" s="3" t="str">
        <f t="shared" si="39"/>
        <v>Victoria dominante</v>
      </c>
    </row>
    <row r="61" spans="1:45" x14ac:dyDescent="0.3">
      <c r="A61" t="s">
        <v>193</v>
      </c>
      <c r="B61">
        <f t="shared" si="20"/>
        <v>2022</v>
      </c>
      <c r="C61" t="str">
        <f t="shared" si="21"/>
        <v>Jan</v>
      </c>
      <c r="D61" t="str" cm="1">
        <f t="array" ref="D61">_xlfn.IFS(OR(C61="Dec", C61="Jan", C61="Feb"), "Invierno", OR(C61="Mar", C61="Apr", C61="May"), "Primavera", OR(C61="Jun", C61="Jul", C61="Aug"), "Verano", OR(C61="Sep", C61="Oct", C61="Nov"), "Otoño")</f>
        <v>Invierno</v>
      </c>
      <c r="E61" t="s">
        <v>22</v>
      </c>
      <c r="F61" t="s">
        <v>38</v>
      </c>
      <c r="G61" t="s">
        <v>58</v>
      </c>
      <c r="H61" t="s">
        <v>126</v>
      </c>
      <c r="I61" t="s">
        <v>64</v>
      </c>
      <c r="J61">
        <v>12</v>
      </c>
      <c r="K61">
        <v>11</v>
      </c>
      <c r="L61">
        <f t="shared" si="22"/>
        <v>12</v>
      </c>
      <c r="M61">
        <f t="shared" si="23"/>
        <v>11</v>
      </c>
      <c r="N61">
        <v>3</v>
      </c>
      <c r="O61">
        <v>6</v>
      </c>
      <c r="P61">
        <f t="shared" si="24"/>
        <v>3</v>
      </c>
      <c r="Q61">
        <f t="shared" si="25"/>
        <v>6</v>
      </c>
      <c r="R61">
        <v>36</v>
      </c>
      <c r="S61">
        <v>64</v>
      </c>
      <c r="T61" s="10">
        <f t="shared" si="26"/>
        <v>36</v>
      </c>
      <c r="U61">
        <f t="shared" si="27"/>
        <v>64</v>
      </c>
      <c r="V61">
        <v>6</v>
      </c>
      <c r="W61">
        <v>4</v>
      </c>
      <c r="X61">
        <v>12</v>
      </c>
      <c r="Y61">
        <v>10</v>
      </c>
      <c r="Z61">
        <f t="shared" si="28"/>
        <v>6</v>
      </c>
      <c r="AA61">
        <f t="shared" si="29"/>
        <v>4</v>
      </c>
      <c r="AB61">
        <f t="shared" si="30"/>
        <v>12</v>
      </c>
      <c r="AC61">
        <f t="shared" si="31"/>
        <v>10</v>
      </c>
      <c r="AD61">
        <v>0</v>
      </c>
      <c r="AE61">
        <v>3</v>
      </c>
      <c r="AF61" t="s">
        <v>70</v>
      </c>
      <c r="AG61">
        <v>0</v>
      </c>
      <c r="AH61">
        <f t="shared" si="32"/>
        <v>0</v>
      </c>
      <c r="AI61">
        <f t="shared" si="33"/>
        <v>0</v>
      </c>
      <c r="AJ61">
        <v>0</v>
      </c>
      <c r="AK61">
        <v>0</v>
      </c>
      <c r="AL61">
        <f t="shared" si="34"/>
        <v>0</v>
      </c>
      <c r="AM61">
        <f t="shared" si="35"/>
        <v>0</v>
      </c>
      <c r="AN61">
        <v>0</v>
      </c>
      <c r="AO61" t="s">
        <v>107</v>
      </c>
      <c r="AP61">
        <f t="shared" si="36"/>
        <v>0</v>
      </c>
      <c r="AQ61">
        <f t="shared" si="37"/>
        <v>0</v>
      </c>
      <c r="AR61" t="str">
        <f t="shared" si="38"/>
        <v>Empate</v>
      </c>
      <c r="AS61" s="3" t="str">
        <f t="shared" si="39"/>
        <v>Empate</v>
      </c>
    </row>
    <row r="62" spans="1:45" x14ac:dyDescent="0.3">
      <c r="A62" t="s">
        <v>194</v>
      </c>
      <c r="B62">
        <f t="shared" si="20"/>
        <v>2022</v>
      </c>
      <c r="C62" t="str">
        <f t="shared" si="21"/>
        <v>Jan</v>
      </c>
      <c r="D62" t="str" cm="1">
        <f t="array" ref="D62">_xlfn.IFS(OR(C62="Dec", C62="Jan", C62="Feb"), "Invierno", OR(C62="Mar", C62="Apr", C62="May"), "Primavera", OR(C62="Jun", C62="Jul", C62="Aug"), "Verano", OR(C62="Sep", C62="Oct", C62="Nov"), "Otoño")</f>
        <v>Invierno</v>
      </c>
      <c r="E62" t="s">
        <v>22</v>
      </c>
      <c r="F62" t="s">
        <v>23</v>
      </c>
      <c r="G62" t="s">
        <v>24</v>
      </c>
      <c r="H62" t="s">
        <v>32</v>
      </c>
      <c r="I62" t="s">
        <v>64</v>
      </c>
      <c r="J62">
        <v>9</v>
      </c>
      <c r="K62">
        <v>6</v>
      </c>
      <c r="L62">
        <f t="shared" si="22"/>
        <v>6</v>
      </c>
      <c r="M62">
        <f t="shared" si="23"/>
        <v>9</v>
      </c>
      <c r="N62">
        <v>2</v>
      </c>
      <c r="O62">
        <v>1</v>
      </c>
      <c r="P62">
        <f t="shared" si="24"/>
        <v>1</v>
      </c>
      <c r="Q62">
        <f t="shared" si="25"/>
        <v>2</v>
      </c>
      <c r="R62">
        <v>61</v>
      </c>
      <c r="S62">
        <v>39</v>
      </c>
      <c r="T62" s="10">
        <f t="shared" si="26"/>
        <v>39</v>
      </c>
      <c r="U62">
        <f t="shared" si="27"/>
        <v>61</v>
      </c>
      <c r="V62">
        <v>4</v>
      </c>
      <c r="W62">
        <v>1</v>
      </c>
      <c r="X62">
        <v>10</v>
      </c>
      <c r="Y62">
        <v>17</v>
      </c>
      <c r="Z62">
        <f t="shared" si="28"/>
        <v>1</v>
      </c>
      <c r="AA62">
        <f t="shared" si="29"/>
        <v>4</v>
      </c>
      <c r="AB62">
        <f t="shared" si="30"/>
        <v>17</v>
      </c>
      <c r="AC62">
        <f t="shared" si="31"/>
        <v>10</v>
      </c>
      <c r="AD62">
        <v>2</v>
      </c>
      <c r="AE62">
        <v>2</v>
      </c>
      <c r="AF62" t="s">
        <v>119</v>
      </c>
      <c r="AG62">
        <v>0</v>
      </c>
      <c r="AH62">
        <f t="shared" si="32"/>
        <v>0</v>
      </c>
      <c r="AI62">
        <f t="shared" si="33"/>
        <v>0</v>
      </c>
      <c r="AJ62">
        <v>0</v>
      </c>
      <c r="AK62">
        <v>0</v>
      </c>
      <c r="AL62">
        <f t="shared" si="34"/>
        <v>0</v>
      </c>
      <c r="AM62">
        <f t="shared" si="35"/>
        <v>0</v>
      </c>
      <c r="AN62">
        <v>0</v>
      </c>
      <c r="AO62" t="s">
        <v>28</v>
      </c>
      <c r="AP62">
        <f t="shared" si="36"/>
        <v>0</v>
      </c>
      <c r="AQ62">
        <f t="shared" si="37"/>
        <v>0</v>
      </c>
      <c r="AR62" t="str">
        <f t="shared" si="38"/>
        <v>Empate</v>
      </c>
      <c r="AS62" s="3" t="str">
        <f t="shared" si="39"/>
        <v>Empate</v>
      </c>
    </row>
    <row r="63" spans="1:45" x14ac:dyDescent="0.3">
      <c r="A63" t="s">
        <v>195</v>
      </c>
      <c r="B63">
        <f t="shared" si="20"/>
        <v>2022</v>
      </c>
      <c r="C63" t="str">
        <f t="shared" si="21"/>
        <v>Feb</v>
      </c>
      <c r="D63" t="str" cm="1">
        <f t="array" ref="D63">_xlfn.IFS(OR(C63="Dec", C63="Jan", C63="Feb"), "Invierno", OR(C63="Mar", C63="Apr", C63="May"), "Primavera", OR(C63="Jun", C63="Jul", C63="Aug"), "Verano", OR(C63="Sep", C63="Oct", C63="Nov"), "Otoño")</f>
        <v>Invierno</v>
      </c>
      <c r="E63" t="s">
        <v>37</v>
      </c>
      <c r="F63" t="s">
        <v>38</v>
      </c>
      <c r="G63" t="s">
        <v>39</v>
      </c>
      <c r="H63" t="s">
        <v>126</v>
      </c>
      <c r="I63" t="s">
        <v>54</v>
      </c>
      <c r="J63">
        <v>10</v>
      </c>
      <c r="K63">
        <v>7</v>
      </c>
      <c r="L63">
        <f t="shared" si="22"/>
        <v>10</v>
      </c>
      <c r="M63">
        <f t="shared" si="23"/>
        <v>7</v>
      </c>
      <c r="N63">
        <v>2</v>
      </c>
      <c r="O63">
        <v>2</v>
      </c>
      <c r="P63">
        <f t="shared" si="24"/>
        <v>2</v>
      </c>
      <c r="Q63">
        <f t="shared" si="25"/>
        <v>2</v>
      </c>
      <c r="R63">
        <v>60</v>
      </c>
      <c r="S63">
        <v>40</v>
      </c>
      <c r="T63" s="10">
        <f t="shared" si="26"/>
        <v>60</v>
      </c>
      <c r="U63">
        <f t="shared" si="27"/>
        <v>40</v>
      </c>
      <c r="V63">
        <v>3</v>
      </c>
      <c r="W63">
        <v>1</v>
      </c>
      <c r="X63">
        <v>13</v>
      </c>
      <c r="Y63">
        <v>14</v>
      </c>
      <c r="Z63">
        <f t="shared" si="28"/>
        <v>3</v>
      </c>
      <c r="AA63">
        <f t="shared" si="29"/>
        <v>1</v>
      </c>
      <c r="AB63">
        <f t="shared" si="30"/>
        <v>13</v>
      </c>
      <c r="AC63">
        <f t="shared" si="31"/>
        <v>14</v>
      </c>
      <c r="AD63">
        <v>1</v>
      </c>
      <c r="AE63">
        <v>3</v>
      </c>
      <c r="AF63" t="s">
        <v>170</v>
      </c>
      <c r="AG63">
        <v>0</v>
      </c>
      <c r="AH63">
        <f t="shared" si="32"/>
        <v>0</v>
      </c>
      <c r="AI63">
        <f t="shared" si="33"/>
        <v>0</v>
      </c>
      <c r="AJ63">
        <v>0</v>
      </c>
      <c r="AK63">
        <v>1</v>
      </c>
      <c r="AL63">
        <f t="shared" si="34"/>
        <v>1</v>
      </c>
      <c r="AM63">
        <f t="shared" si="35"/>
        <v>2</v>
      </c>
      <c r="AN63">
        <v>2</v>
      </c>
      <c r="AO63" t="s">
        <v>111</v>
      </c>
      <c r="AP63">
        <f t="shared" si="36"/>
        <v>1</v>
      </c>
      <c r="AQ63">
        <f t="shared" si="37"/>
        <v>2</v>
      </c>
      <c r="AR63" t="str">
        <f t="shared" si="38"/>
        <v>Derrota</v>
      </c>
      <c r="AS63" s="3" t="str">
        <f t="shared" si="39"/>
        <v>Derrota ajustada</v>
      </c>
    </row>
    <row r="64" spans="1:45" x14ac:dyDescent="0.3">
      <c r="A64" t="s">
        <v>196</v>
      </c>
      <c r="B64">
        <f t="shared" si="20"/>
        <v>2022</v>
      </c>
      <c r="C64" t="str">
        <f t="shared" si="21"/>
        <v>Feb</v>
      </c>
      <c r="D64" t="str" cm="1">
        <f t="array" ref="D64">_xlfn.IFS(OR(C64="Dec", C64="Jan", C64="Feb"), "Invierno", OR(C64="Mar", C64="Apr", C64="May"), "Primavera", OR(C64="Jun", C64="Jul", C64="Aug"), "Verano", OR(C64="Sep", C64="Oct", C64="Nov"), "Otoño")</f>
        <v>Invierno</v>
      </c>
      <c r="E64" t="s">
        <v>22</v>
      </c>
      <c r="F64" t="s">
        <v>38</v>
      </c>
      <c r="G64" t="s">
        <v>351</v>
      </c>
      <c r="H64" t="s">
        <v>25</v>
      </c>
      <c r="I64" t="s">
        <v>59</v>
      </c>
      <c r="J64">
        <v>21</v>
      </c>
      <c r="K64">
        <v>15</v>
      </c>
      <c r="L64">
        <f t="shared" si="22"/>
        <v>21</v>
      </c>
      <c r="M64">
        <f t="shared" si="23"/>
        <v>15</v>
      </c>
      <c r="N64">
        <v>5</v>
      </c>
      <c r="O64">
        <v>2</v>
      </c>
      <c r="P64">
        <f t="shared" si="24"/>
        <v>5</v>
      </c>
      <c r="Q64">
        <f t="shared" si="25"/>
        <v>2</v>
      </c>
      <c r="R64">
        <v>53</v>
      </c>
      <c r="S64">
        <v>47</v>
      </c>
      <c r="T64" s="10">
        <f t="shared" si="26"/>
        <v>53</v>
      </c>
      <c r="U64">
        <f t="shared" si="27"/>
        <v>47</v>
      </c>
      <c r="V64">
        <v>8</v>
      </c>
      <c r="W64">
        <v>8</v>
      </c>
      <c r="X64">
        <v>13</v>
      </c>
      <c r="Y64">
        <v>9</v>
      </c>
      <c r="Z64">
        <f t="shared" si="28"/>
        <v>8</v>
      </c>
      <c r="AA64">
        <f t="shared" si="29"/>
        <v>8</v>
      </c>
      <c r="AB64">
        <f t="shared" si="30"/>
        <v>13</v>
      </c>
      <c r="AC64">
        <f t="shared" si="31"/>
        <v>9</v>
      </c>
      <c r="AD64">
        <v>0</v>
      </c>
      <c r="AE64">
        <v>3</v>
      </c>
      <c r="AF64" t="s">
        <v>77</v>
      </c>
      <c r="AG64">
        <v>0</v>
      </c>
      <c r="AH64">
        <f t="shared" si="32"/>
        <v>0</v>
      </c>
      <c r="AI64">
        <f t="shared" si="33"/>
        <v>0</v>
      </c>
      <c r="AJ64">
        <v>0</v>
      </c>
      <c r="AK64">
        <v>1</v>
      </c>
      <c r="AL64">
        <f t="shared" si="34"/>
        <v>1</v>
      </c>
      <c r="AM64">
        <f t="shared" si="35"/>
        <v>1</v>
      </c>
      <c r="AN64">
        <v>1</v>
      </c>
      <c r="AO64" t="s">
        <v>81</v>
      </c>
      <c r="AP64">
        <f t="shared" si="36"/>
        <v>1</v>
      </c>
      <c r="AQ64">
        <f t="shared" si="37"/>
        <v>1</v>
      </c>
      <c r="AR64" t="str">
        <f t="shared" si="38"/>
        <v>Empate</v>
      </c>
      <c r="AS64" s="3" t="str">
        <f t="shared" si="39"/>
        <v>Empate</v>
      </c>
    </row>
    <row r="65" spans="1:45" x14ac:dyDescent="0.3">
      <c r="A65" t="s">
        <v>197</v>
      </c>
      <c r="B65">
        <f t="shared" si="20"/>
        <v>2022</v>
      </c>
      <c r="C65" t="str">
        <f t="shared" si="21"/>
        <v>Feb</v>
      </c>
      <c r="D65" t="str" cm="1">
        <f t="array" ref="D65">_xlfn.IFS(OR(C65="Dec", C65="Jan", C65="Feb"), "Invierno", OR(C65="Mar", C65="Apr", C65="May"), "Primavera", OR(C65="Jun", C65="Jul", C65="Aug"), "Verano", OR(C65="Sep", C65="Oct", C65="Nov"), "Otoño")</f>
        <v>Invierno</v>
      </c>
      <c r="E65" t="s">
        <v>37</v>
      </c>
      <c r="F65" t="s">
        <v>23</v>
      </c>
      <c r="G65" t="s">
        <v>75</v>
      </c>
      <c r="H65" t="s">
        <v>25</v>
      </c>
      <c r="I65" t="s">
        <v>121</v>
      </c>
      <c r="J65">
        <v>6</v>
      </c>
      <c r="K65">
        <v>7</v>
      </c>
      <c r="L65">
        <f t="shared" si="22"/>
        <v>7</v>
      </c>
      <c r="M65">
        <f t="shared" si="23"/>
        <v>6</v>
      </c>
      <c r="N65">
        <v>1</v>
      </c>
      <c r="O65">
        <v>2</v>
      </c>
      <c r="P65">
        <f t="shared" si="24"/>
        <v>2</v>
      </c>
      <c r="Q65">
        <f t="shared" si="25"/>
        <v>1</v>
      </c>
      <c r="R65">
        <v>50</v>
      </c>
      <c r="S65">
        <v>50</v>
      </c>
      <c r="T65" s="10">
        <f t="shared" si="26"/>
        <v>50</v>
      </c>
      <c r="U65">
        <f t="shared" si="27"/>
        <v>50</v>
      </c>
      <c r="V65">
        <v>2</v>
      </c>
      <c r="W65">
        <v>1</v>
      </c>
      <c r="X65">
        <v>17</v>
      </c>
      <c r="Y65">
        <v>20</v>
      </c>
      <c r="Z65">
        <f t="shared" si="28"/>
        <v>1</v>
      </c>
      <c r="AA65">
        <f t="shared" si="29"/>
        <v>2</v>
      </c>
      <c r="AB65">
        <f t="shared" si="30"/>
        <v>20</v>
      </c>
      <c r="AC65">
        <f t="shared" si="31"/>
        <v>17</v>
      </c>
      <c r="AD65">
        <v>3</v>
      </c>
      <c r="AE65">
        <v>5</v>
      </c>
      <c r="AF65" t="s">
        <v>60</v>
      </c>
      <c r="AG65">
        <v>0</v>
      </c>
      <c r="AH65">
        <f t="shared" si="32"/>
        <v>0</v>
      </c>
      <c r="AI65">
        <f t="shared" si="33"/>
        <v>0</v>
      </c>
      <c r="AJ65">
        <v>0</v>
      </c>
      <c r="AK65">
        <v>1</v>
      </c>
      <c r="AL65">
        <f t="shared" si="34"/>
        <v>0</v>
      </c>
      <c r="AM65">
        <f t="shared" si="35"/>
        <v>1</v>
      </c>
      <c r="AN65">
        <v>0</v>
      </c>
      <c r="AO65" t="s">
        <v>143</v>
      </c>
      <c r="AP65">
        <f t="shared" si="36"/>
        <v>0</v>
      </c>
      <c r="AQ65">
        <f t="shared" si="37"/>
        <v>1</v>
      </c>
      <c r="AR65" t="str">
        <f t="shared" si="38"/>
        <v>Derrota</v>
      </c>
      <c r="AS65" s="3" t="str">
        <f t="shared" si="39"/>
        <v>Derrota ajustada</v>
      </c>
    </row>
    <row r="66" spans="1:45" x14ac:dyDescent="0.3">
      <c r="A66" t="s">
        <v>198</v>
      </c>
      <c r="B66">
        <f t="shared" ref="B66:B97" si="40">VALUE(RIGHT(A66,4))</f>
        <v>2022</v>
      </c>
      <c r="C66" t="str">
        <f t="shared" ref="C66:C97" si="41">MID(A66,5,3)</f>
        <v>Feb</v>
      </c>
      <c r="D66" t="str" cm="1">
        <f t="array" ref="D66">_xlfn.IFS(OR(C66="Dec", C66="Jan", C66="Feb"), "Invierno", OR(C66="Mar", C66="Apr", C66="May"), "Primavera", OR(C66="Jun", C66="Jul", C66="Aug"), "Verano", OR(C66="Sep", C66="Oct", C66="Nov"), "Otoño")</f>
        <v>Invierno</v>
      </c>
      <c r="E66" t="s">
        <v>22</v>
      </c>
      <c r="F66" t="s">
        <v>38</v>
      </c>
      <c r="G66" t="s">
        <v>48</v>
      </c>
      <c r="H66" t="s">
        <v>126</v>
      </c>
      <c r="I66" t="s">
        <v>180</v>
      </c>
      <c r="J66">
        <v>19</v>
      </c>
      <c r="K66">
        <v>6</v>
      </c>
      <c r="L66">
        <f t="shared" ref="L66:L97" si="42">IF(F66 = "H", J66, IF(F66 = "A", K66))</f>
        <v>19</v>
      </c>
      <c r="M66">
        <f t="shared" ref="M66:M97" si="43">IF(F66 = "A", J66, IF(F66 = "H", K66))</f>
        <v>6</v>
      </c>
      <c r="N66">
        <v>1</v>
      </c>
      <c r="O66">
        <v>5</v>
      </c>
      <c r="P66">
        <f t="shared" ref="P66:P97" si="44">IF(F66 = "H", N66, IF(F66 = "A", O66,0))</f>
        <v>1</v>
      </c>
      <c r="Q66">
        <f t="shared" ref="Q66:Q97" si="45">IF(F66 = "A", N66, IF(F66 = "H", O66))</f>
        <v>5</v>
      </c>
      <c r="R66">
        <v>56</v>
      </c>
      <c r="S66">
        <v>44</v>
      </c>
      <c r="T66" s="10">
        <f t="shared" ref="T66:T97" si="46">IF(F66 = "H", R66, IF(F66 ="A", S66,0))</f>
        <v>56</v>
      </c>
      <c r="U66">
        <f t="shared" ref="U66:U97" si="47">IF(F66 = "A", R66, IF(F66 = "H", S66))</f>
        <v>44</v>
      </c>
      <c r="V66">
        <v>8</v>
      </c>
      <c r="W66">
        <v>1</v>
      </c>
      <c r="X66">
        <v>16</v>
      </c>
      <c r="Y66">
        <v>4</v>
      </c>
      <c r="Z66">
        <f t="shared" ref="Z66:Z97" si="48">IF(F66 = "H", V66, IF(F66 = "A", W66))</f>
        <v>8</v>
      </c>
      <c r="AA66">
        <f t="shared" ref="AA66:AA97" si="49">IF(F66 = "A", V66, IF(F66 = "H", W66))</f>
        <v>1</v>
      </c>
      <c r="AB66">
        <f t="shared" ref="AB66:AB97" si="50">IF(F66 = "H", X66, IF(F66= "A", Y66, 0))</f>
        <v>16</v>
      </c>
      <c r="AC66">
        <f t="shared" ref="AC66:AC97" si="51">IF(F66 = "A", X66, IF(F66 = "H", Y66, 0))</f>
        <v>4</v>
      </c>
      <c r="AD66">
        <v>4</v>
      </c>
      <c r="AE66">
        <v>1</v>
      </c>
      <c r="AF66" t="s">
        <v>119</v>
      </c>
      <c r="AG66">
        <v>2</v>
      </c>
      <c r="AH66">
        <f t="shared" ref="AH66:AH97" si="52">IF(F66 = "H", AG66, IF(F66 ="A", AJ66,0))</f>
        <v>2</v>
      </c>
      <c r="AI66">
        <f t="shared" ref="AI66:AI97" si="53">IF(F66 = "A", AG66, IF(F66 ="H", AJ66,0))</f>
        <v>0</v>
      </c>
      <c r="AJ66">
        <v>0</v>
      </c>
      <c r="AK66">
        <v>2</v>
      </c>
      <c r="AL66">
        <f t="shared" ref="AL66:AL97" si="54">IF(F66 ="H", AK66, IF(F66 ="A", AN66,0))</f>
        <v>2</v>
      </c>
      <c r="AM66">
        <f t="shared" ref="AM66:AM97" si="55">IF(F66="A", AK66,IF(F66 ="H", AN66,0))</f>
        <v>0</v>
      </c>
      <c r="AN66">
        <v>0</v>
      </c>
      <c r="AO66" t="s">
        <v>171</v>
      </c>
      <c r="AP66">
        <f t="shared" ref="AP66:AP97" si="56">IF(F66="H", AG66+AK66, IF(F66="A", AJ66+AN66, 0))</f>
        <v>4</v>
      </c>
      <c r="AQ66">
        <f t="shared" ref="AQ66:AQ97" si="57">IF(F66="A", AG66+AK66, IF(F66="H", AJ66+AN66, 0))</f>
        <v>0</v>
      </c>
      <c r="AR66" t="str">
        <f t="shared" ref="AR66:AR97" si="58">IF(AP66&gt;AQ66,"Victoria",IF(AQ66&gt;AP66,"Derrota",IF(AQ66=AP66,"Empate")))</f>
        <v>Victoria</v>
      </c>
      <c r="AS66" s="3" t="str">
        <f t="shared" ref="AS66:AS97" si="59">IF(AP66&gt;AQ66,IF(AP66-AQ66&gt;1,"Victoria dominante","Victoria ajustada"),IF(AP66=AQ66,"Empate",IF(AP66-AQ66&lt;0,"Derrota ajustada","Derrota aplastante")))</f>
        <v>Victoria dominante</v>
      </c>
    </row>
    <row r="67" spans="1:45" x14ac:dyDescent="0.3">
      <c r="A67" t="s">
        <v>199</v>
      </c>
      <c r="B67">
        <f t="shared" si="40"/>
        <v>2022</v>
      </c>
      <c r="C67" t="str">
        <f t="shared" si="41"/>
        <v>Mar</v>
      </c>
      <c r="D67" t="str" cm="1">
        <f t="array" ref="D67">_xlfn.IFS(OR(C67="Dec", C67="Jan", C67="Feb"), "Invierno", OR(C67="Mar", C67="Apr", C67="May"), "Primavera", OR(C67="Jun", C67="Jul", C67="Aug"), "Verano", OR(C67="Sep", C67="Oct", C67="Nov"), "Otoño")</f>
        <v>Primavera</v>
      </c>
      <c r="E67" t="s">
        <v>62</v>
      </c>
      <c r="F67" t="s">
        <v>23</v>
      </c>
      <c r="G67" t="s">
        <v>83</v>
      </c>
      <c r="H67" t="s">
        <v>126</v>
      </c>
      <c r="I67" t="s">
        <v>121</v>
      </c>
      <c r="J67">
        <v>13</v>
      </c>
      <c r="K67">
        <v>7</v>
      </c>
      <c r="L67">
        <f t="shared" si="42"/>
        <v>7</v>
      </c>
      <c r="M67">
        <f t="shared" si="43"/>
        <v>13</v>
      </c>
      <c r="N67">
        <v>4</v>
      </c>
      <c r="O67">
        <v>3</v>
      </c>
      <c r="P67">
        <f t="shared" si="44"/>
        <v>3</v>
      </c>
      <c r="Q67">
        <f t="shared" si="45"/>
        <v>4</v>
      </c>
      <c r="R67">
        <v>35</v>
      </c>
      <c r="S67">
        <v>65</v>
      </c>
      <c r="T67" s="10">
        <f t="shared" si="46"/>
        <v>65</v>
      </c>
      <c r="U67">
        <f t="shared" si="47"/>
        <v>35</v>
      </c>
      <c r="V67">
        <v>6</v>
      </c>
      <c r="W67">
        <v>3</v>
      </c>
      <c r="X67">
        <v>17</v>
      </c>
      <c r="Y67">
        <v>16</v>
      </c>
      <c r="Z67">
        <f t="shared" si="48"/>
        <v>3</v>
      </c>
      <c r="AA67">
        <f t="shared" si="49"/>
        <v>6</v>
      </c>
      <c r="AB67">
        <f t="shared" si="50"/>
        <v>16</v>
      </c>
      <c r="AC67">
        <f t="shared" si="51"/>
        <v>17</v>
      </c>
      <c r="AD67">
        <v>3</v>
      </c>
      <c r="AE67">
        <v>4</v>
      </c>
      <c r="AF67" t="s">
        <v>70</v>
      </c>
      <c r="AG67">
        <v>1</v>
      </c>
      <c r="AH67">
        <f t="shared" si="52"/>
        <v>0</v>
      </c>
      <c r="AI67">
        <f t="shared" si="53"/>
        <v>1</v>
      </c>
      <c r="AJ67">
        <v>0</v>
      </c>
      <c r="AK67">
        <v>0</v>
      </c>
      <c r="AL67">
        <f t="shared" si="54"/>
        <v>0</v>
      </c>
      <c r="AM67">
        <f t="shared" si="55"/>
        <v>0</v>
      </c>
      <c r="AN67">
        <v>0</v>
      </c>
      <c r="AO67" t="s">
        <v>28</v>
      </c>
      <c r="AP67">
        <f t="shared" si="56"/>
        <v>0</v>
      </c>
      <c r="AQ67">
        <f t="shared" si="57"/>
        <v>1</v>
      </c>
      <c r="AR67" t="str">
        <f t="shared" si="58"/>
        <v>Derrota</v>
      </c>
      <c r="AS67" s="3" t="str">
        <f t="shared" si="59"/>
        <v>Derrota ajustada</v>
      </c>
    </row>
    <row r="68" spans="1:45" x14ac:dyDescent="0.3">
      <c r="A68" t="s">
        <v>200</v>
      </c>
      <c r="B68">
        <f t="shared" si="40"/>
        <v>2022</v>
      </c>
      <c r="C68" t="str">
        <f t="shared" si="41"/>
        <v>Mar</v>
      </c>
      <c r="D68" t="str" cm="1">
        <f t="array" ref="D68">_xlfn.IFS(OR(C68="Dec", C68="Jan", C68="Feb"), "Invierno", OR(C68="Mar", C68="Apr", C68="May"), "Primavera", OR(C68="Jun", C68="Jul", C68="Aug"), "Verano", OR(C68="Sep", C68="Oct", C68="Nov"), "Otoño")</f>
        <v>Primavera</v>
      </c>
      <c r="E68" t="s">
        <v>62</v>
      </c>
      <c r="F68" t="s">
        <v>38</v>
      </c>
      <c r="G68" t="s">
        <v>102</v>
      </c>
      <c r="H68" t="s">
        <v>32</v>
      </c>
      <c r="I68" t="s">
        <v>64</v>
      </c>
      <c r="J68">
        <v>11</v>
      </c>
      <c r="K68">
        <v>13</v>
      </c>
      <c r="L68">
        <f t="shared" si="42"/>
        <v>11</v>
      </c>
      <c r="M68">
        <f t="shared" si="43"/>
        <v>13</v>
      </c>
      <c r="N68">
        <v>3</v>
      </c>
      <c r="O68">
        <v>2</v>
      </c>
      <c r="P68">
        <f t="shared" si="44"/>
        <v>3</v>
      </c>
      <c r="Q68">
        <f t="shared" si="45"/>
        <v>2</v>
      </c>
      <c r="R68">
        <v>58</v>
      </c>
      <c r="S68">
        <v>42</v>
      </c>
      <c r="T68" s="10">
        <f t="shared" si="46"/>
        <v>58</v>
      </c>
      <c r="U68">
        <f t="shared" si="47"/>
        <v>42</v>
      </c>
      <c r="V68">
        <v>4</v>
      </c>
      <c r="W68">
        <v>3</v>
      </c>
      <c r="X68">
        <v>13</v>
      </c>
      <c r="Y68">
        <v>18</v>
      </c>
      <c r="Z68">
        <f t="shared" si="48"/>
        <v>4</v>
      </c>
      <c r="AA68">
        <f t="shared" si="49"/>
        <v>3</v>
      </c>
      <c r="AB68">
        <f t="shared" si="50"/>
        <v>13</v>
      </c>
      <c r="AC68">
        <f t="shared" si="51"/>
        <v>18</v>
      </c>
      <c r="AD68">
        <v>2</v>
      </c>
      <c r="AE68">
        <v>1</v>
      </c>
      <c r="AF68" t="s">
        <v>176</v>
      </c>
      <c r="AG68">
        <v>0</v>
      </c>
      <c r="AH68">
        <f t="shared" si="52"/>
        <v>0</v>
      </c>
      <c r="AI68">
        <f t="shared" si="53"/>
        <v>0</v>
      </c>
      <c r="AJ68">
        <v>0</v>
      </c>
      <c r="AK68">
        <v>0</v>
      </c>
      <c r="AL68">
        <f t="shared" si="54"/>
        <v>0</v>
      </c>
      <c r="AM68">
        <f t="shared" si="55"/>
        <v>0</v>
      </c>
      <c r="AN68">
        <v>0</v>
      </c>
      <c r="AO68" t="s">
        <v>56</v>
      </c>
      <c r="AP68">
        <f t="shared" si="56"/>
        <v>0</v>
      </c>
      <c r="AQ68">
        <f t="shared" si="57"/>
        <v>0</v>
      </c>
      <c r="AR68" t="str">
        <f t="shared" si="58"/>
        <v>Empate</v>
      </c>
      <c r="AS68" s="3" t="str">
        <f t="shared" si="59"/>
        <v>Empate</v>
      </c>
    </row>
    <row r="69" spans="1:45" x14ac:dyDescent="0.3">
      <c r="A69" t="s">
        <v>201</v>
      </c>
      <c r="B69">
        <f t="shared" si="40"/>
        <v>2022</v>
      </c>
      <c r="C69" t="str">
        <f t="shared" si="41"/>
        <v>Mar</v>
      </c>
      <c r="D69" t="str" cm="1">
        <f t="array" ref="D69">_xlfn.IFS(OR(C69="Dec", C69="Jan", C69="Feb"), "Invierno", OR(C69="Mar", C69="Apr", C69="May"), "Primavera", OR(C69="Jun", C69="Jul", C69="Aug"), "Verano", OR(C69="Sep", C69="Oct", C69="Nov"), "Otoño")</f>
        <v>Primavera</v>
      </c>
      <c r="E69" t="s">
        <v>22</v>
      </c>
      <c r="F69" t="s">
        <v>23</v>
      </c>
      <c r="G69" t="s">
        <v>87</v>
      </c>
      <c r="H69" t="s">
        <v>25</v>
      </c>
      <c r="I69" t="s">
        <v>113</v>
      </c>
      <c r="J69">
        <v>12</v>
      </c>
      <c r="K69">
        <v>15</v>
      </c>
      <c r="L69">
        <f t="shared" si="42"/>
        <v>15</v>
      </c>
      <c r="M69">
        <f t="shared" si="43"/>
        <v>12</v>
      </c>
      <c r="N69">
        <v>1</v>
      </c>
      <c r="O69">
        <v>3</v>
      </c>
      <c r="P69">
        <f t="shared" si="44"/>
        <v>3</v>
      </c>
      <c r="Q69">
        <f t="shared" si="45"/>
        <v>1</v>
      </c>
      <c r="R69">
        <v>61</v>
      </c>
      <c r="S69">
        <v>39</v>
      </c>
      <c r="T69" s="10">
        <f t="shared" si="46"/>
        <v>39</v>
      </c>
      <c r="U69">
        <f t="shared" si="47"/>
        <v>61</v>
      </c>
      <c r="V69">
        <v>6</v>
      </c>
      <c r="W69">
        <v>3</v>
      </c>
      <c r="X69">
        <v>9</v>
      </c>
      <c r="Y69">
        <v>12</v>
      </c>
      <c r="Z69">
        <f t="shared" si="48"/>
        <v>3</v>
      </c>
      <c r="AA69">
        <f t="shared" si="49"/>
        <v>6</v>
      </c>
      <c r="AB69">
        <f t="shared" si="50"/>
        <v>12</v>
      </c>
      <c r="AC69">
        <f t="shared" si="51"/>
        <v>9</v>
      </c>
      <c r="AD69">
        <v>2</v>
      </c>
      <c r="AE69">
        <v>5</v>
      </c>
      <c r="AF69" t="s">
        <v>202</v>
      </c>
      <c r="AG69">
        <v>0</v>
      </c>
      <c r="AH69">
        <f t="shared" si="52"/>
        <v>0</v>
      </c>
      <c r="AI69">
        <f t="shared" si="53"/>
        <v>0</v>
      </c>
      <c r="AJ69">
        <v>0</v>
      </c>
      <c r="AK69">
        <v>0</v>
      </c>
      <c r="AL69">
        <f t="shared" si="54"/>
        <v>1</v>
      </c>
      <c r="AM69">
        <f t="shared" si="55"/>
        <v>0</v>
      </c>
      <c r="AN69">
        <v>1</v>
      </c>
      <c r="AO69" t="s">
        <v>35</v>
      </c>
      <c r="AP69">
        <f t="shared" si="56"/>
        <v>1</v>
      </c>
      <c r="AQ69">
        <f t="shared" si="57"/>
        <v>0</v>
      </c>
      <c r="AR69" t="str">
        <f t="shared" si="58"/>
        <v>Victoria</v>
      </c>
      <c r="AS69" s="3" t="str">
        <f t="shared" si="59"/>
        <v>Victoria ajustada</v>
      </c>
    </row>
    <row r="70" spans="1:45" x14ac:dyDescent="0.3">
      <c r="A70" t="s">
        <v>203</v>
      </c>
      <c r="B70">
        <f t="shared" si="40"/>
        <v>2022</v>
      </c>
      <c r="C70" t="str">
        <f t="shared" si="41"/>
        <v>Apr</v>
      </c>
      <c r="D70" t="str" cm="1">
        <f t="array" ref="D70">_xlfn.IFS(OR(C70="Dec", C70="Jan", C70="Feb"), "Invierno", OR(C70="Mar", C70="Apr", C70="May"), "Primavera", OR(C70="Jun", C70="Jul", C70="Aug"), "Verano", OR(C70="Sep", C70="Oct", C70="Nov"), "Otoño")</f>
        <v>Primavera</v>
      </c>
      <c r="E70" t="s">
        <v>30</v>
      </c>
      <c r="F70" t="s">
        <v>38</v>
      </c>
      <c r="G70" t="s">
        <v>44</v>
      </c>
      <c r="H70" t="s">
        <v>32</v>
      </c>
      <c r="I70" t="s">
        <v>49</v>
      </c>
      <c r="J70">
        <v>19</v>
      </c>
      <c r="K70">
        <v>6</v>
      </c>
      <c r="L70">
        <f t="shared" si="42"/>
        <v>19</v>
      </c>
      <c r="M70">
        <f t="shared" si="43"/>
        <v>6</v>
      </c>
      <c r="N70">
        <v>2</v>
      </c>
      <c r="O70">
        <v>2</v>
      </c>
      <c r="P70">
        <f t="shared" si="44"/>
        <v>2</v>
      </c>
      <c r="Q70">
        <f t="shared" si="45"/>
        <v>2</v>
      </c>
      <c r="R70">
        <v>56</v>
      </c>
      <c r="S70">
        <v>44</v>
      </c>
      <c r="T70" s="10">
        <f t="shared" si="46"/>
        <v>56</v>
      </c>
      <c r="U70">
        <f t="shared" si="47"/>
        <v>44</v>
      </c>
      <c r="V70">
        <v>9</v>
      </c>
      <c r="W70">
        <v>1</v>
      </c>
      <c r="X70">
        <v>15</v>
      </c>
      <c r="Y70">
        <v>11</v>
      </c>
      <c r="Z70">
        <f t="shared" si="48"/>
        <v>9</v>
      </c>
      <c r="AA70">
        <f t="shared" si="49"/>
        <v>1</v>
      </c>
      <c r="AB70">
        <f t="shared" si="50"/>
        <v>15</v>
      </c>
      <c r="AC70">
        <f t="shared" si="51"/>
        <v>11</v>
      </c>
      <c r="AD70">
        <v>0</v>
      </c>
      <c r="AE70">
        <v>3</v>
      </c>
      <c r="AF70" t="s">
        <v>84</v>
      </c>
      <c r="AG70">
        <v>0</v>
      </c>
      <c r="AH70">
        <f t="shared" si="52"/>
        <v>0</v>
      </c>
      <c r="AI70">
        <f t="shared" si="53"/>
        <v>2</v>
      </c>
      <c r="AJ70">
        <v>2</v>
      </c>
      <c r="AK70">
        <v>1</v>
      </c>
      <c r="AL70">
        <f t="shared" si="54"/>
        <v>1</v>
      </c>
      <c r="AM70">
        <f t="shared" si="55"/>
        <v>1</v>
      </c>
      <c r="AN70">
        <v>1</v>
      </c>
      <c r="AO70" t="s">
        <v>163</v>
      </c>
      <c r="AP70">
        <f t="shared" si="56"/>
        <v>1</v>
      </c>
      <c r="AQ70">
        <f t="shared" si="57"/>
        <v>3</v>
      </c>
      <c r="AR70" t="str">
        <f t="shared" si="58"/>
        <v>Derrota</v>
      </c>
      <c r="AS70" s="3" t="str">
        <f t="shared" si="59"/>
        <v>Derrota ajustada</v>
      </c>
    </row>
    <row r="71" spans="1:45" x14ac:dyDescent="0.3">
      <c r="A71" t="s">
        <v>204</v>
      </c>
      <c r="B71">
        <f t="shared" si="40"/>
        <v>2022</v>
      </c>
      <c r="C71" t="str">
        <f t="shared" si="41"/>
        <v>Apr</v>
      </c>
      <c r="D71" t="str" cm="1">
        <f t="array" ref="D71">_xlfn.IFS(OR(C71="Dec", C71="Jan", C71="Feb"), "Invierno", OR(C71="Mar", C71="Apr", C71="May"), "Primavera", OR(C71="Jun", C71="Jul", C71="Aug"), "Verano", OR(C71="Sep", C71="Oct", C71="Nov"), "Otoño")</f>
        <v>Primavera</v>
      </c>
      <c r="E71" t="s">
        <v>30</v>
      </c>
      <c r="F71" t="s">
        <v>23</v>
      </c>
      <c r="G71" t="s">
        <v>91</v>
      </c>
      <c r="H71" t="s">
        <v>25</v>
      </c>
      <c r="I71" t="s">
        <v>161</v>
      </c>
      <c r="J71">
        <v>14</v>
      </c>
      <c r="K71">
        <v>15</v>
      </c>
      <c r="L71">
        <f t="shared" si="42"/>
        <v>15</v>
      </c>
      <c r="M71">
        <f t="shared" si="43"/>
        <v>14</v>
      </c>
      <c r="N71">
        <v>3</v>
      </c>
      <c r="O71">
        <v>5</v>
      </c>
      <c r="P71">
        <f t="shared" si="44"/>
        <v>5</v>
      </c>
      <c r="Q71">
        <f t="shared" si="45"/>
        <v>3</v>
      </c>
      <c r="R71">
        <v>50</v>
      </c>
      <c r="S71">
        <v>50</v>
      </c>
      <c r="T71" s="10">
        <f t="shared" si="46"/>
        <v>50</v>
      </c>
      <c r="U71">
        <f t="shared" si="47"/>
        <v>50</v>
      </c>
      <c r="V71">
        <v>8</v>
      </c>
      <c r="W71">
        <v>8</v>
      </c>
      <c r="X71">
        <v>18</v>
      </c>
      <c r="Y71">
        <v>14</v>
      </c>
      <c r="Z71">
        <f t="shared" si="48"/>
        <v>8</v>
      </c>
      <c r="AA71">
        <f t="shared" si="49"/>
        <v>8</v>
      </c>
      <c r="AB71">
        <f t="shared" si="50"/>
        <v>14</v>
      </c>
      <c r="AC71">
        <f t="shared" si="51"/>
        <v>18</v>
      </c>
      <c r="AD71">
        <v>2</v>
      </c>
      <c r="AE71">
        <v>4</v>
      </c>
      <c r="AF71" t="s">
        <v>96</v>
      </c>
      <c r="AG71">
        <v>1</v>
      </c>
      <c r="AH71">
        <f t="shared" si="52"/>
        <v>0</v>
      </c>
      <c r="AI71">
        <f t="shared" si="53"/>
        <v>1</v>
      </c>
      <c r="AJ71">
        <v>0</v>
      </c>
      <c r="AK71">
        <v>1</v>
      </c>
      <c r="AL71">
        <f t="shared" si="54"/>
        <v>1</v>
      </c>
      <c r="AM71">
        <f t="shared" si="55"/>
        <v>1</v>
      </c>
      <c r="AN71">
        <v>1</v>
      </c>
      <c r="AO71" t="s">
        <v>51</v>
      </c>
      <c r="AP71">
        <f t="shared" si="56"/>
        <v>1</v>
      </c>
      <c r="AQ71">
        <f t="shared" si="57"/>
        <v>2</v>
      </c>
      <c r="AR71" t="str">
        <f t="shared" si="58"/>
        <v>Derrota</v>
      </c>
      <c r="AS71" s="3" t="str">
        <f t="shared" si="59"/>
        <v>Derrota ajustada</v>
      </c>
    </row>
    <row r="72" spans="1:45" x14ac:dyDescent="0.3">
      <c r="A72" t="s">
        <v>205</v>
      </c>
      <c r="B72">
        <f t="shared" si="40"/>
        <v>2022</v>
      </c>
      <c r="C72" t="str">
        <f t="shared" si="41"/>
        <v>Apr</v>
      </c>
      <c r="D72" t="str" cm="1">
        <f t="array" ref="D72">_xlfn.IFS(OR(C72="Dec", C72="Jan", C72="Feb"), "Invierno", OR(C72="Mar", C72="Apr", C72="May"), "Primavera", OR(C72="Jun", C72="Jul", C72="Aug"), "Verano", OR(C72="Sep", C72="Oct", C72="Nov"), "Otoño")</f>
        <v>Primavera</v>
      </c>
      <c r="E72" t="s">
        <v>206</v>
      </c>
      <c r="F72" t="s">
        <v>38</v>
      </c>
      <c r="G72" t="s">
        <v>68</v>
      </c>
      <c r="H72" t="s">
        <v>25</v>
      </c>
      <c r="I72" t="s">
        <v>54</v>
      </c>
      <c r="J72">
        <v>17</v>
      </c>
      <c r="K72">
        <v>21</v>
      </c>
      <c r="L72">
        <f t="shared" si="42"/>
        <v>17</v>
      </c>
      <c r="M72">
        <f t="shared" si="43"/>
        <v>21</v>
      </c>
      <c r="N72">
        <v>5</v>
      </c>
      <c r="O72">
        <v>3</v>
      </c>
      <c r="P72">
        <f t="shared" si="44"/>
        <v>5</v>
      </c>
      <c r="Q72">
        <f t="shared" si="45"/>
        <v>3</v>
      </c>
      <c r="R72">
        <v>56</v>
      </c>
      <c r="S72">
        <v>44</v>
      </c>
      <c r="T72" s="10">
        <f t="shared" si="46"/>
        <v>56</v>
      </c>
      <c r="U72">
        <f t="shared" si="47"/>
        <v>44</v>
      </c>
      <c r="V72">
        <v>10</v>
      </c>
      <c r="W72">
        <v>1</v>
      </c>
      <c r="X72">
        <v>13</v>
      </c>
      <c r="Y72">
        <v>13</v>
      </c>
      <c r="Z72">
        <f t="shared" si="48"/>
        <v>10</v>
      </c>
      <c r="AA72">
        <f t="shared" si="49"/>
        <v>1</v>
      </c>
      <c r="AB72">
        <f t="shared" si="50"/>
        <v>13</v>
      </c>
      <c r="AC72">
        <f t="shared" si="51"/>
        <v>13</v>
      </c>
      <c r="AD72">
        <v>1</v>
      </c>
      <c r="AE72">
        <v>1</v>
      </c>
      <c r="AF72" t="s">
        <v>114</v>
      </c>
      <c r="AG72">
        <v>0</v>
      </c>
      <c r="AH72">
        <f t="shared" si="52"/>
        <v>0</v>
      </c>
      <c r="AI72">
        <f t="shared" si="53"/>
        <v>0</v>
      </c>
      <c r="AJ72">
        <v>0</v>
      </c>
      <c r="AK72">
        <v>1</v>
      </c>
      <c r="AL72">
        <f t="shared" si="54"/>
        <v>1</v>
      </c>
      <c r="AM72">
        <f t="shared" si="55"/>
        <v>2</v>
      </c>
      <c r="AN72">
        <v>2</v>
      </c>
      <c r="AO72" t="s">
        <v>51</v>
      </c>
      <c r="AP72">
        <f t="shared" si="56"/>
        <v>1</v>
      </c>
      <c r="AQ72">
        <f t="shared" si="57"/>
        <v>2</v>
      </c>
      <c r="AR72" t="str">
        <f t="shared" si="58"/>
        <v>Derrota</v>
      </c>
      <c r="AS72" s="3" t="str">
        <f t="shared" si="59"/>
        <v>Derrota ajustada</v>
      </c>
    </row>
    <row r="73" spans="1:45" x14ac:dyDescent="0.3">
      <c r="A73" t="s">
        <v>207</v>
      </c>
      <c r="B73">
        <f t="shared" si="40"/>
        <v>2022</v>
      </c>
      <c r="C73" t="str">
        <f t="shared" si="41"/>
        <v>Apr</v>
      </c>
      <c r="D73" t="str" cm="1">
        <f t="array" ref="D73">_xlfn.IFS(OR(C73="Dec", C73="Jan", C73="Feb"), "Invierno", OR(C73="Mar", C73="Apr", C73="May"), "Primavera", OR(C73="Jun", C73="Jul", C73="Aug"), "Verano", OR(C73="Sep", C73="Oct", C73="Nov"), "Otoño")</f>
        <v>Primavera</v>
      </c>
      <c r="E73" t="s">
        <v>30</v>
      </c>
      <c r="F73" t="s">
        <v>23</v>
      </c>
      <c r="G73" t="s">
        <v>359</v>
      </c>
      <c r="H73" t="s">
        <v>32</v>
      </c>
      <c r="I73" t="s">
        <v>49</v>
      </c>
      <c r="J73">
        <v>8</v>
      </c>
      <c r="K73">
        <v>19</v>
      </c>
      <c r="L73">
        <f t="shared" si="42"/>
        <v>19</v>
      </c>
      <c r="M73">
        <f t="shared" si="43"/>
        <v>8</v>
      </c>
      <c r="N73">
        <v>1</v>
      </c>
      <c r="O73">
        <v>1</v>
      </c>
      <c r="P73">
        <f t="shared" si="44"/>
        <v>1</v>
      </c>
      <c r="Q73">
        <f t="shared" si="45"/>
        <v>1</v>
      </c>
      <c r="R73">
        <v>40</v>
      </c>
      <c r="S73">
        <v>60</v>
      </c>
      <c r="T73" s="10">
        <f t="shared" si="46"/>
        <v>60</v>
      </c>
      <c r="U73">
        <f t="shared" si="47"/>
        <v>40</v>
      </c>
      <c r="V73">
        <v>0</v>
      </c>
      <c r="W73">
        <v>7</v>
      </c>
      <c r="X73">
        <v>12</v>
      </c>
      <c r="Y73">
        <v>13</v>
      </c>
      <c r="Z73">
        <f t="shared" si="48"/>
        <v>7</v>
      </c>
      <c r="AA73">
        <f t="shared" si="49"/>
        <v>0</v>
      </c>
      <c r="AB73">
        <f t="shared" si="50"/>
        <v>13</v>
      </c>
      <c r="AC73">
        <f t="shared" si="51"/>
        <v>12</v>
      </c>
      <c r="AD73">
        <v>2</v>
      </c>
      <c r="AE73">
        <v>0</v>
      </c>
      <c r="AF73" t="s">
        <v>208</v>
      </c>
      <c r="AG73">
        <v>0</v>
      </c>
      <c r="AH73">
        <f t="shared" si="52"/>
        <v>0</v>
      </c>
      <c r="AI73">
        <f t="shared" si="53"/>
        <v>0</v>
      </c>
      <c r="AJ73">
        <v>0</v>
      </c>
      <c r="AK73">
        <v>1</v>
      </c>
      <c r="AL73">
        <f t="shared" si="54"/>
        <v>3</v>
      </c>
      <c r="AM73">
        <f t="shared" si="55"/>
        <v>1</v>
      </c>
      <c r="AN73">
        <v>3</v>
      </c>
      <c r="AO73" t="s">
        <v>56</v>
      </c>
      <c r="AP73">
        <f t="shared" si="56"/>
        <v>3</v>
      </c>
      <c r="AQ73">
        <f t="shared" si="57"/>
        <v>1</v>
      </c>
      <c r="AR73" t="str">
        <f t="shared" si="58"/>
        <v>Victoria</v>
      </c>
      <c r="AS73" s="3" t="str">
        <f t="shared" si="59"/>
        <v>Victoria dominante</v>
      </c>
    </row>
    <row r="74" spans="1:45" x14ac:dyDescent="0.3">
      <c r="A74" t="s">
        <v>209</v>
      </c>
      <c r="B74">
        <f t="shared" si="40"/>
        <v>2022</v>
      </c>
      <c r="C74" t="str">
        <f t="shared" si="41"/>
        <v>May</v>
      </c>
      <c r="D74" t="str" cm="1">
        <f t="array" ref="D74">_xlfn.IFS(OR(C74="Dec", C74="Jan", C74="Feb"), "Invierno", OR(C74="Mar", C74="Apr", C74="May"), "Primavera", OR(C74="Jun", C74="Jul", C74="Aug"), "Verano", OR(C74="Sep", C74="Oct", C74="Nov"), "Otoño")</f>
        <v>Primavera</v>
      </c>
      <c r="E74" t="s">
        <v>22</v>
      </c>
      <c r="F74" t="s">
        <v>38</v>
      </c>
      <c r="G74" t="s">
        <v>158</v>
      </c>
      <c r="H74" t="s">
        <v>25</v>
      </c>
      <c r="I74" t="s">
        <v>59</v>
      </c>
      <c r="J74">
        <v>20</v>
      </c>
      <c r="K74">
        <v>11</v>
      </c>
      <c r="L74">
        <f t="shared" si="42"/>
        <v>20</v>
      </c>
      <c r="M74">
        <f t="shared" si="43"/>
        <v>11</v>
      </c>
      <c r="N74">
        <v>8</v>
      </c>
      <c r="O74">
        <v>4</v>
      </c>
      <c r="P74">
        <f t="shared" si="44"/>
        <v>8</v>
      </c>
      <c r="Q74">
        <f t="shared" si="45"/>
        <v>4</v>
      </c>
      <c r="R74">
        <v>63</v>
      </c>
      <c r="S74">
        <v>37</v>
      </c>
      <c r="T74" s="10">
        <f t="shared" si="46"/>
        <v>63</v>
      </c>
      <c r="U74">
        <f t="shared" si="47"/>
        <v>37</v>
      </c>
      <c r="V74">
        <v>11</v>
      </c>
      <c r="W74">
        <v>4</v>
      </c>
      <c r="X74">
        <v>13</v>
      </c>
      <c r="Y74">
        <v>9</v>
      </c>
      <c r="Z74">
        <f t="shared" si="48"/>
        <v>11</v>
      </c>
      <c r="AA74">
        <f t="shared" si="49"/>
        <v>4</v>
      </c>
      <c r="AB74">
        <f t="shared" si="50"/>
        <v>13</v>
      </c>
      <c r="AC74">
        <f t="shared" si="51"/>
        <v>9</v>
      </c>
      <c r="AD74">
        <v>2</v>
      </c>
      <c r="AE74">
        <v>0</v>
      </c>
      <c r="AF74" t="s">
        <v>173</v>
      </c>
      <c r="AG74">
        <v>0</v>
      </c>
      <c r="AH74">
        <f t="shared" si="52"/>
        <v>0</v>
      </c>
      <c r="AI74">
        <f t="shared" si="53"/>
        <v>0</v>
      </c>
      <c r="AJ74">
        <v>0</v>
      </c>
      <c r="AK74">
        <v>1</v>
      </c>
      <c r="AL74">
        <f t="shared" si="54"/>
        <v>1</v>
      </c>
      <c r="AM74">
        <f t="shared" si="55"/>
        <v>1</v>
      </c>
      <c r="AN74">
        <v>1</v>
      </c>
      <c r="AO74" t="s">
        <v>111</v>
      </c>
      <c r="AP74">
        <f t="shared" si="56"/>
        <v>1</v>
      </c>
      <c r="AQ74">
        <f t="shared" si="57"/>
        <v>1</v>
      </c>
      <c r="AR74" t="str">
        <f t="shared" si="58"/>
        <v>Empate</v>
      </c>
      <c r="AS74" s="3" t="str">
        <f t="shared" si="59"/>
        <v>Empate</v>
      </c>
    </row>
    <row r="75" spans="1:45" x14ac:dyDescent="0.3">
      <c r="A75" t="s">
        <v>210</v>
      </c>
      <c r="B75">
        <f t="shared" si="40"/>
        <v>2022</v>
      </c>
      <c r="C75" t="str">
        <f t="shared" si="41"/>
        <v>May</v>
      </c>
      <c r="D75" t="str" cm="1">
        <f t="array" ref="D75">_xlfn.IFS(OR(C75="Dec", C75="Jan", C75="Feb"), "Invierno", OR(C75="Mar", C75="Apr", C75="May"), "Primavera", OR(C75="Jun", C75="Jul", C75="Aug"), "Verano", OR(C75="Sep", C75="Oct", C75="Nov"), "Otoño")</f>
        <v>Primavera</v>
      </c>
      <c r="E75" t="s">
        <v>37</v>
      </c>
      <c r="F75" t="s">
        <v>23</v>
      </c>
      <c r="G75" t="s">
        <v>63</v>
      </c>
      <c r="H75" t="s">
        <v>25</v>
      </c>
      <c r="I75" t="s">
        <v>49</v>
      </c>
      <c r="J75">
        <v>5</v>
      </c>
      <c r="K75">
        <v>17</v>
      </c>
      <c r="L75">
        <f t="shared" si="42"/>
        <v>17</v>
      </c>
      <c r="M75">
        <f t="shared" si="43"/>
        <v>5</v>
      </c>
      <c r="N75">
        <v>3</v>
      </c>
      <c r="O75">
        <v>0</v>
      </c>
      <c r="P75">
        <f t="shared" si="44"/>
        <v>0</v>
      </c>
      <c r="Q75">
        <f t="shared" si="45"/>
        <v>3</v>
      </c>
      <c r="R75">
        <v>35</v>
      </c>
      <c r="S75">
        <v>65</v>
      </c>
      <c r="T75" s="10">
        <f t="shared" si="46"/>
        <v>65</v>
      </c>
      <c r="U75">
        <f t="shared" si="47"/>
        <v>35</v>
      </c>
      <c r="V75">
        <v>0</v>
      </c>
      <c r="W75">
        <v>3</v>
      </c>
      <c r="X75">
        <v>10</v>
      </c>
      <c r="Y75">
        <v>12</v>
      </c>
      <c r="Z75">
        <f t="shared" si="48"/>
        <v>3</v>
      </c>
      <c r="AA75">
        <f t="shared" si="49"/>
        <v>0</v>
      </c>
      <c r="AB75">
        <f t="shared" si="50"/>
        <v>12</v>
      </c>
      <c r="AC75">
        <f t="shared" si="51"/>
        <v>10</v>
      </c>
      <c r="AD75">
        <v>4</v>
      </c>
      <c r="AE75">
        <v>3</v>
      </c>
      <c r="AF75" t="s">
        <v>93</v>
      </c>
      <c r="AG75">
        <v>1</v>
      </c>
      <c r="AH75">
        <f t="shared" si="52"/>
        <v>1</v>
      </c>
      <c r="AI75">
        <f t="shared" si="53"/>
        <v>1</v>
      </c>
      <c r="AJ75">
        <v>1</v>
      </c>
      <c r="AK75">
        <v>0</v>
      </c>
      <c r="AL75">
        <f t="shared" si="54"/>
        <v>2</v>
      </c>
      <c r="AM75">
        <f t="shared" si="55"/>
        <v>0</v>
      </c>
      <c r="AN75">
        <v>2</v>
      </c>
      <c r="AO75" t="s">
        <v>97</v>
      </c>
      <c r="AP75">
        <f t="shared" si="56"/>
        <v>3</v>
      </c>
      <c r="AQ75">
        <f t="shared" si="57"/>
        <v>1</v>
      </c>
      <c r="AR75" t="str">
        <f t="shared" si="58"/>
        <v>Victoria</v>
      </c>
      <c r="AS75" s="3" t="str">
        <f t="shared" si="59"/>
        <v>Victoria dominante</v>
      </c>
    </row>
    <row r="76" spans="1:45" x14ac:dyDescent="0.3">
      <c r="A76" t="s">
        <v>211</v>
      </c>
      <c r="B76">
        <f t="shared" si="40"/>
        <v>2022</v>
      </c>
      <c r="C76" t="str">
        <f t="shared" si="41"/>
        <v>May</v>
      </c>
      <c r="D76" t="str" cm="1">
        <f t="array" ref="D76">_xlfn.IFS(OR(C76="Dec", C76="Jan", C76="Feb"), "Invierno", OR(C76="Mar", C76="Apr", C76="May"), "Primavera", OR(C76="Jun", C76="Jul", C76="Aug"), "Verano", OR(C76="Sep", C76="Oct", C76="Nov"), "Otoño")</f>
        <v>Primavera</v>
      </c>
      <c r="E76" t="s">
        <v>62</v>
      </c>
      <c r="F76" t="s">
        <v>23</v>
      </c>
      <c r="G76" t="s">
        <v>105</v>
      </c>
      <c r="H76" t="s">
        <v>25</v>
      </c>
      <c r="I76" t="s">
        <v>150</v>
      </c>
      <c r="J76">
        <v>12</v>
      </c>
      <c r="K76">
        <v>12</v>
      </c>
      <c r="L76">
        <f t="shared" si="42"/>
        <v>12</v>
      </c>
      <c r="M76">
        <f t="shared" si="43"/>
        <v>12</v>
      </c>
      <c r="N76">
        <v>2</v>
      </c>
      <c r="O76">
        <v>4</v>
      </c>
      <c r="P76">
        <f t="shared" si="44"/>
        <v>4</v>
      </c>
      <c r="Q76">
        <f t="shared" si="45"/>
        <v>2</v>
      </c>
      <c r="R76">
        <v>46</v>
      </c>
      <c r="S76">
        <v>54</v>
      </c>
      <c r="T76" s="10">
        <f t="shared" si="46"/>
        <v>54</v>
      </c>
      <c r="U76">
        <f t="shared" si="47"/>
        <v>46</v>
      </c>
      <c r="V76">
        <v>4</v>
      </c>
      <c r="W76">
        <v>6</v>
      </c>
      <c r="X76">
        <v>8</v>
      </c>
      <c r="Y76">
        <v>14</v>
      </c>
      <c r="Z76">
        <f t="shared" si="48"/>
        <v>6</v>
      </c>
      <c r="AA76">
        <f t="shared" si="49"/>
        <v>4</v>
      </c>
      <c r="AB76">
        <f t="shared" si="50"/>
        <v>14</v>
      </c>
      <c r="AC76">
        <f t="shared" si="51"/>
        <v>8</v>
      </c>
      <c r="AD76">
        <v>0</v>
      </c>
      <c r="AE76">
        <v>1</v>
      </c>
      <c r="AF76" t="s">
        <v>134</v>
      </c>
      <c r="AG76">
        <v>0</v>
      </c>
      <c r="AH76">
        <f t="shared" si="52"/>
        <v>0</v>
      </c>
      <c r="AI76">
        <f t="shared" si="53"/>
        <v>0</v>
      </c>
      <c r="AJ76">
        <v>0</v>
      </c>
      <c r="AK76">
        <v>2</v>
      </c>
      <c r="AL76">
        <f t="shared" si="54"/>
        <v>0</v>
      </c>
      <c r="AM76">
        <f t="shared" si="55"/>
        <v>2</v>
      </c>
      <c r="AN76">
        <v>0</v>
      </c>
      <c r="AO76" t="s">
        <v>107</v>
      </c>
      <c r="AP76">
        <f t="shared" si="56"/>
        <v>0</v>
      </c>
      <c r="AQ76">
        <f t="shared" si="57"/>
        <v>2</v>
      </c>
      <c r="AR76" t="str">
        <f t="shared" si="58"/>
        <v>Derrota</v>
      </c>
      <c r="AS76" s="3" t="str">
        <f t="shared" si="59"/>
        <v>Derrota ajustada</v>
      </c>
    </row>
    <row r="77" spans="1:45" x14ac:dyDescent="0.3">
      <c r="A77" t="s">
        <v>212</v>
      </c>
      <c r="B77">
        <f t="shared" si="40"/>
        <v>2022</v>
      </c>
      <c r="C77" t="str">
        <f t="shared" si="41"/>
        <v>May</v>
      </c>
      <c r="D77" t="str" cm="1">
        <f t="array" ref="D77">_xlfn.IFS(OR(C77="Dec", C77="Jan", C77="Feb"), "Invierno", OR(C77="Mar", C77="Apr", C77="May"), "Primavera", OR(C77="Jun", C77="Jul", C77="Aug"), "Verano", OR(C77="Sep", C77="Oct", C77="Nov"), "Otoño")</f>
        <v>Primavera</v>
      </c>
      <c r="E77" t="s">
        <v>22</v>
      </c>
      <c r="F77" t="s">
        <v>38</v>
      </c>
      <c r="G77" t="s">
        <v>166</v>
      </c>
      <c r="H77" t="s">
        <v>32</v>
      </c>
      <c r="I77" t="s">
        <v>113</v>
      </c>
      <c r="J77">
        <v>40</v>
      </c>
      <c r="K77">
        <v>7</v>
      </c>
      <c r="L77">
        <f t="shared" si="42"/>
        <v>40</v>
      </c>
      <c r="M77">
        <f t="shared" si="43"/>
        <v>7</v>
      </c>
      <c r="N77">
        <v>2</v>
      </c>
      <c r="O77">
        <v>9</v>
      </c>
      <c r="P77">
        <f t="shared" si="44"/>
        <v>2</v>
      </c>
      <c r="Q77">
        <f t="shared" si="45"/>
        <v>9</v>
      </c>
      <c r="R77">
        <v>62</v>
      </c>
      <c r="S77">
        <v>38</v>
      </c>
      <c r="T77" s="10">
        <f t="shared" si="46"/>
        <v>62</v>
      </c>
      <c r="U77">
        <f t="shared" si="47"/>
        <v>38</v>
      </c>
      <c r="V77">
        <v>15</v>
      </c>
      <c r="W77">
        <v>2</v>
      </c>
      <c r="X77">
        <v>6</v>
      </c>
      <c r="Y77">
        <v>7</v>
      </c>
      <c r="Z77">
        <f t="shared" si="48"/>
        <v>15</v>
      </c>
      <c r="AA77">
        <f t="shared" si="49"/>
        <v>2</v>
      </c>
      <c r="AB77">
        <f t="shared" si="50"/>
        <v>6</v>
      </c>
      <c r="AC77">
        <f t="shared" si="51"/>
        <v>7</v>
      </c>
      <c r="AD77">
        <v>2</v>
      </c>
      <c r="AE77">
        <v>2</v>
      </c>
      <c r="AF77" t="s">
        <v>176</v>
      </c>
      <c r="AG77">
        <v>0</v>
      </c>
      <c r="AH77">
        <f t="shared" si="52"/>
        <v>0</v>
      </c>
      <c r="AI77">
        <f t="shared" si="53"/>
        <v>0</v>
      </c>
      <c r="AJ77">
        <v>0</v>
      </c>
      <c r="AK77">
        <v>0</v>
      </c>
      <c r="AL77">
        <f t="shared" si="54"/>
        <v>0</v>
      </c>
      <c r="AM77">
        <f t="shared" si="55"/>
        <v>1</v>
      </c>
      <c r="AN77">
        <v>1</v>
      </c>
      <c r="AO77" t="s">
        <v>42</v>
      </c>
      <c r="AP77">
        <f t="shared" si="56"/>
        <v>0</v>
      </c>
      <c r="AQ77">
        <f t="shared" si="57"/>
        <v>1</v>
      </c>
      <c r="AR77" t="str">
        <f t="shared" si="58"/>
        <v>Derrota</v>
      </c>
      <c r="AS77" s="3" t="str">
        <f t="shared" si="59"/>
        <v>Derrota ajustada</v>
      </c>
    </row>
    <row r="78" spans="1:45" x14ac:dyDescent="0.3">
      <c r="A78" t="s">
        <v>213</v>
      </c>
      <c r="B78">
        <f t="shared" si="40"/>
        <v>2022</v>
      </c>
      <c r="C78" t="str">
        <f t="shared" si="41"/>
        <v>Aug</v>
      </c>
      <c r="D78" t="str" cm="1">
        <f t="array" ref="D78">_xlfn.IFS(OR(C78="Dec", C78="Jan", C78="Feb"), "Invierno", OR(C78="Mar", C78="Apr", C78="May"), "Primavera", OR(C78="Jun", C78="Jul", C78="Aug"), "Verano", OR(C78="Sep", C78="Oct", C78="Nov"), "Otoño")</f>
        <v>Verano</v>
      </c>
      <c r="E78" t="s">
        <v>80</v>
      </c>
      <c r="F78" t="s">
        <v>23</v>
      </c>
      <c r="G78" t="s">
        <v>48</v>
      </c>
      <c r="H78" t="s">
        <v>32</v>
      </c>
      <c r="I78" t="s">
        <v>69</v>
      </c>
      <c r="J78">
        <v>11</v>
      </c>
      <c r="K78">
        <v>9</v>
      </c>
      <c r="L78">
        <f t="shared" si="42"/>
        <v>9</v>
      </c>
      <c r="M78">
        <f t="shared" si="43"/>
        <v>11</v>
      </c>
      <c r="N78">
        <v>1</v>
      </c>
      <c r="O78">
        <v>1</v>
      </c>
      <c r="P78">
        <f t="shared" si="44"/>
        <v>1</v>
      </c>
      <c r="Q78">
        <f t="shared" si="45"/>
        <v>1</v>
      </c>
      <c r="R78">
        <v>55</v>
      </c>
      <c r="S78">
        <v>45</v>
      </c>
      <c r="T78" s="10">
        <f t="shared" si="46"/>
        <v>45</v>
      </c>
      <c r="U78">
        <f t="shared" si="47"/>
        <v>55</v>
      </c>
      <c r="V78">
        <v>3</v>
      </c>
      <c r="W78">
        <v>2</v>
      </c>
      <c r="X78">
        <v>13</v>
      </c>
      <c r="Y78">
        <v>21</v>
      </c>
      <c r="Z78">
        <f t="shared" si="48"/>
        <v>2</v>
      </c>
      <c r="AA78">
        <f t="shared" si="49"/>
        <v>3</v>
      </c>
      <c r="AB78">
        <f t="shared" si="50"/>
        <v>21</v>
      </c>
      <c r="AC78">
        <f t="shared" si="51"/>
        <v>13</v>
      </c>
      <c r="AD78">
        <v>1</v>
      </c>
      <c r="AE78">
        <v>2</v>
      </c>
      <c r="AF78" t="s">
        <v>214</v>
      </c>
      <c r="AG78">
        <v>0</v>
      </c>
      <c r="AH78">
        <f t="shared" si="52"/>
        <v>1</v>
      </c>
      <c r="AI78">
        <f t="shared" si="53"/>
        <v>0</v>
      </c>
      <c r="AJ78">
        <v>1</v>
      </c>
      <c r="AK78">
        <v>0</v>
      </c>
      <c r="AL78">
        <f t="shared" si="54"/>
        <v>1</v>
      </c>
      <c r="AM78">
        <f t="shared" si="55"/>
        <v>0</v>
      </c>
      <c r="AN78">
        <v>1</v>
      </c>
      <c r="AO78" t="s">
        <v>56</v>
      </c>
      <c r="AP78">
        <f t="shared" si="56"/>
        <v>2</v>
      </c>
      <c r="AQ78">
        <f t="shared" si="57"/>
        <v>0</v>
      </c>
      <c r="AR78" t="str">
        <f t="shared" si="58"/>
        <v>Victoria</v>
      </c>
      <c r="AS78" s="3" t="str">
        <f t="shared" si="59"/>
        <v>Victoria dominante</v>
      </c>
    </row>
    <row r="79" spans="1:45" x14ac:dyDescent="0.3">
      <c r="A79" t="s">
        <v>215</v>
      </c>
      <c r="B79">
        <f t="shared" si="40"/>
        <v>2022</v>
      </c>
      <c r="C79" t="str">
        <f t="shared" si="41"/>
        <v>Aug</v>
      </c>
      <c r="D79" t="str" cm="1">
        <f t="array" ref="D79">_xlfn.IFS(OR(C79="Dec", C79="Jan", C79="Feb"), "Invierno", OR(C79="Mar", C79="Apr", C79="May"), "Primavera", OR(C79="Jun", C79="Jul", C79="Aug"), "Verano", OR(C79="Sep", C79="Oct", C79="Nov"), "Otoño")</f>
        <v>Verano</v>
      </c>
      <c r="E79" t="s">
        <v>22</v>
      </c>
      <c r="F79" t="s">
        <v>38</v>
      </c>
      <c r="G79" t="s">
        <v>105</v>
      </c>
      <c r="H79" t="s">
        <v>25</v>
      </c>
      <c r="I79" t="s">
        <v>59</v>
      </c>
      <c r="J79">
        <v>11</v>
      </c>
      <c r="K79">
        <v>18</v>
      </c>
      <c r="L79">
        <f t="shared" si="42"/>
        <v>11</v>
      </c>
      <c r="M79">
        <f t="shared" si="43"/>
        <v>18</v>
      </c>
      <c r="N79">
        <v>6</v>
      </c>
      <c r="O79">
        <v>1</v>
      </c>
      <c r="P79">
        <f t="shared" si="44"/>
        <v>6</v>
      </c>
      <c r="Q79">
        <f t="shared" si="45"/>
        <v>1</v>
      </c>
      <c r="R79">
        <v>41</v>
      </c>
      <c r="S79">
        <v>59</v>
      </c>
      <c r="T79" s="10">
        <f t="shared" si="46"/>
        <v>41</v>
      </c>
      <c r="U79">
        <f t="shared" si="47"/>
        <v>59</v>
      </c>
      <c r="V79">
        <v>4</v>
      </c>
      <c r="W79">
        <v>6</v>
      </c>
      <c r="X79">
        <v>15</v>
      </c>
      <c r="Y79">
        <v>6</v>
      </c>
      <c r="Z79">
        <f t="shared" si="48"/>
        <v>4</v>
      </c>
      <c r="AA79">
        <f t="shared" si="49"/>
        <v>6</v>
      </c>
      <c r="AB79">
        <f t="shared" si="50"/>
        <v>15</v>
      </c>
      <c r="AC79">
        <f t="shared" si="51"/>
        <v>6</v>
      </c>
      <c r="AD79">
        <v>0</v>
      </c>
      <c r="AE79">
        <v>3</v>
      </c>
      <c r="AF79" t="s">
        <v>202</v>
      </c>
      <c r="AG79">
        <v>1</v>
      </c>
      <c r="AH79">
        <f t="shared" si="52"/>
        <v>1</v>
      </c>
      <c r="AI79">
        <f t="shared" si="53"/>
        <v>0</v>
      </c>
      <c r="AJ79">
        <v>0</v>
      </c>
      <c r="AK79">
        <v>0</v>
      </c>
      <c r="AL79">
        <f t="shared" si="54"/>
        <v>0</v>
      </c>
      <c r="AM79">
        <f t="shared" si="55"/>
        <v>1</v>
      </c>
      <c r="AN79">
        <v>1</v>
      </c>
      <c r="AO79" t="s">
        <v>163</v>
      </c>
      <c r="AP79">
        <f t="shared" si="56"/>
        <v>1</v>
      </c>
      <c r="AQ79">
        <f t="shared" si="57"/>
        <v>1</v>
      </c>
      <c r="AR79" t="str">
        <f t="shared" si="58"/>
        <v>Empate</v>
      </c>
      <c r="AS79" s="3" t="str">
        <f t="shared" si="59"/>
        <v>Empate</v>
      </c>
    </row>
    <row r="80" spans="1:45" x14ac:dyDescent="0.3">
      <c r="A80" t="s">
        <v>216</v>
      </c>
      <c r="B80">
        <f t="shared" si="40"/>
        <v>2022</v>
      </c>
      <c r="C80" t="str">
        <f t="shared" si="41"/>
        <v>Aug</v>
      </c>
      <c r="D80" t="str" cm="1">
        <f t="array" ref="D80">_xlfn.IFS(OR(C80="Dec", C80="Jan", C80="Feb"), "Invierno", OR(C80="Mar", C80="Apr", C80="May"), "Primavera", OR(C80="Jun", C80="Jul", C80="Aug"), "Verano", OR(C80="Sep", C80="Oct", C80="Nov"), "Otoño")</f>
        <v>Verano</v>
      </c>
      <c r="E80" t="s">
        <v>80</v>
      </c>
      <c r="F80" t="s">
        <v>23</v>
      </c>
      <c r="G80" t="s">
        <v>68</v>
      </c>
      <c r="H80" t="s">
        <v>25</v>
      </c>
      <c r="I80" t="s">
        <v>113</v>
      </c>
      <c r="J80">
        <v>14</v>
      </c>
      <c r="K80">
        <v>15</v>
      </c>
      <c r="L80">
        <f t="shared" si="42"/>
        <v>15</v>
      </c>
      <c r="M80">
        <f t="shared" si="43"/>
        <v>14</v>
      </c>
      <c r="N80">
        <v>6</v>
      </c>
      <c r="O80">
        <v>2</v>
      </c>
      <c r="P80">
        <f t="shared" si="44"/>
        <v>2</v>
      </c>
      <c r="Q80">
        <f t="shared" si="45"/>
        <v>6</v>
      </c>
      <c r="R80">
        <v>49</v>
      </c>
      <c r="S80">
        <v>51</v>
      </c>
      <c r="T80" s="10">
        <f t="shared" si="46"/>
        <v>51</v>
      </c>
      <c r="U80">
        <f t="shared" si="47"/>
        <v>49</v>
      </c>
      <c r="V80">
        <v>7</v>
      </c>
      <c r="W80">
        <v>6</v>
      </c>
      <c r="X80">
        <v>15</v>
      </c>
      <c r="Y80">
        <v>7</v>
      </c>
      <c r="Z80">
        <f t="shared" si="48"/>
        <v>6</v>
      </c>
      <c r="AA80">
        <f t="shared" si="49"/>
        <v>7</v>
      </c>
      <c r="AB80">
        <f t="shared" si="50"/>
        <v>7</v>
      </c>
      <c r="AC80">
        <f t="shared" si="51"/>
        <v>15</v>
      </c>
      <c r="AD80">
        <v>2</v>
      </c>
      <c r="AE80">
        <v>0</v>
      </c>
      <c r="AF80" t="s">
        <v>170</v>
      </c>
      <c r="AG80">
        <v>0</v>
      </c>
      <c r="AH80">
        <f t="shared" si="52"/>
        <v>0</v>
      </c>
      <c r="AI80">
        <f t="shared" si="53"/>
        <v>0</v>
      </c>
      <c r="AJ80">
        <v>0</v>
      </c>
      <c r="AK80">
        <v>0</v>
      </c>
      <c r="AL80">
        <f t="shared" si="54"/>
        <v>1</v>
      </c>
      <c r="AM80">
        <f t="shared" si="55"/>
        <v>0</v>
      </c>
      <c r="AN80">
        <v>1</v>
      </c>
      <c r="AO80" t="s">
        <v>42</v>
      </c>
      <c r="AP80">
        <f t="shared" si="56"/>
        <v>1</v>
      </c>
      <c r="AQ80">
        <f t="shared" si="57"/>
        <v>0</v>
      </c>
      <c r="AR80" t="str">
        <f t="shared" si="58"/>
        <v>Victoria</v>
      </c>
      <c r="AS80" s="3" t="str">
        <f t="shared" si="59"/>
        <v>Victoria ajustada</v>
      </c>
    </row>
    <row r="81" spans="1:45" x14ac:dyDescent="0.3">
      <c r="A81" t="s">
        <v>217</v>
      </c>
      <c r="B81">
        <f t="shared" si="40"/>
        <v>2022</v>
      </c>
      <c r="C81" t="str">
        <f t="shared" si="41"/>
        <v>Sep</v>
      </c>
      <c r="D81" t="str" cm="1">
        <f t="array" ref="D81">_xlfn.IFS(OR(C81="Dec", C81="Jan", C81="Feb"), "Invierno", OR(C81="Mar", C81="Apr", C81="May"), "Primavera", OR(C81="Jun", C81="Jul", C81="Aug"), "Verano", OR(C81="Sep", C81="Oct", C81="Nov"), "Otoño")</f>
        <v>Otoño</v>
      </c>
      <c r="E81" t="s">
        <v>22</v>
      </c>
      <c r="F81" t="s">
        <v>38</v>
      </c>
      <c r="G81" t="s">
        <v>31</v>
      </c>
      <c r="H81" t="s">
        <v>25</v>
      </c>
      <c r="I81" t="s">
        <v>123</v>
      </c>
      <c r="J81">
        <v>12</v>
      </c>
      <c r="K81">
        <v>8</v>
      </c>
      <c r="L81">
        <f t="shared" si="42"/>
        <v>12</v>
      </c>
      <c r="M81">
        <f t="shared" si="43"/>
        <v>8</v>
      </c>
      <c r="N81">
        <v>1</v>
      </c>
      <c r="O81">
        <v>2</v>
      </c>
      <c r="P81">
        <f t="shared" si="44"/>
        <v>1</v>
      </c>
      <c r="Q81">
        <f t="shared" si="45"/>
        <v>2</v>
      </c>
      <c r="R81">
        <v>41</v>
      </c>
      <c r="S81">
        <v>59</v>
      </c>
      <c r="T81" s="10">
        <f t="shared" si="46"/>
        <v>41</v>
      </c>
      <c r="U81">
        <f t="shared" si="47"/>
        <v>59</v>
      </c>
      <c r="V81">
        <v>7</v>
      </c>
      <c r="W81">
        <v>2</v>
      </c>
      <c r="X81">
        <v>14</v>
      </c>
      <c r="Y81">
        <v>13</v>
      </c>
      <c r="Z81">
        <f t="shared" si="48"/>
        <v>7</v>
      </c>
      <c r="AA81">
        <f t="shared" si="49"/>
        <v>2</v>
      </c>
      <c r="AB81">
        <f t="shared" si="50"/>
        <v>14</v>
      </c>
      <c r="AC81">
        <f t="shared" si="51"/>
        <v>13</v>
      </c>
      <c r="AD81">
        <v>5</v>
      </c>
      <c r="AE81">
        <v>3</v>
      </c>
      <c r="AF81" t="s">
        <v>84</v>
      </c>
      <c r="AG81">
        <v>0</v>
      </c>
      <c r="AH81">
        <f t="shared" si="52"/>
        <v>0</v>
      </c>
      <c r="AI81">
        <f t="shared" si="53"/>
        <v>0</v>
      </c>
      <c r="AJ81">
        <v>0</v>
      </c>
      <c r="AK81">
        <v>3</v>
      </c>
      <c r="AL81">
        <f t="shared" si="54"/>
        <v>3</v>
      </c>
      <c r="AM81">
        <f t="shared" si="55"/>
        <v>1</v>
      </c>
      <c r="AN81">
        <v>1</v>
      </c>
      <c r="AO81" t="s">
        <v>81</v>
      </c>
      <c r="AP81">
        <f t="shared" si="56"/>
        <v>3</v>
      </c>
      <c r="AQ81">
        <f t="shared" si="57"/>
        <v>1</v>
      </c>
      <c r="AR81" t="str">
        <f t="shared" si="58"/>
        <v>Victoria</v>
      </c>
      <c r="AS81" s="3" t="str">
        <f t="shared" si="59"/>
        <v>Victoria dominante</v>
      </c>
    </row>
    <row r="82" spans="1:45" x14ac:dyDescent="0.3">
      <c r="A82" t="s">
        <v>218</v>
      </c>
      <c r="B82">
        <f t="shared" si="40"/>
        <v>2022</v>
      </c>
      <c r="C82" t="str">
        <f t="shared" si="41"/>
        <v>Sep</v>
      </c>
      <c r="D82" t="str" cm="1">
        <f t="array" ref="D82">_xlfn.IFS(OR(C82="Dec", C82="Jan", C82="Feb"), "Invierno", OR(C82="Mar", C82="Apr", C82="May"), "Primavera", OR(C82="Jun", C82="Jul", C82="Aug"), "Verano", OR(C82="Sep", C82="Oct", C82="Nov"), "Otoño")</f>
        <v>Otoño</v>
      </c>
      <c r="E82" t="s">
        <v>80</v>
      </c>
      <c r="F82" t="s">
        <v>23</v>
      </c>
      <c r="G82" t="s">
        <v>219</v>
      </c>
      <c r="H82" t="s">
        <v>126</v>
      </c>
      <c r="I82" t="s">
        <v>69</v>
      </c>
      <c r="J82">
        <v>10</v>
      </c>
      <c r="K82">
        <v>13</v>
      </c>
      <c r="L82">
        <f t="shared" si="42"/>
        <v>13</v>
      </c>
      <c r="M82">
        <f t="shared" si="43"/>
        <v>10</v>
      </c>
      <c r="N82">
        <v>5</v>
      </c>
      <c r="O82">
        <v>3</v>
      </c>
      <c r="P82">
        <f t="shared" si="44"/>
        <v>3</v>
      </c>
      <c r="Q82">
        <f t="shared" si="45"/>
        <v>5</v>
      </c>
      <c r="R82">
        <v>59</v>
      </c>
      <c r="S82">
        <v>41</v>
      </c>
      <c r="T82" s="10">
        <f t="shared" si="46"/>
        <v>41</v>
      </c>
      <c r="U82">
        <f t="shared" si="47"/>
        <v>59</v>
      </c>
      <c r="V82">
        <v>4</v>
      </c>
      <c r="W82">
        <v>9</v>
      </c>
      <c r="X82">
        <v>9</v>
      </c>
      <c r="Y82">
        <v>10</v>
      </c>
      <c r="Z82">
        <f t="shared" si="48"/>
        <v>9</v>
      </c>
      <c r="AA82">
        <f t="shared" si="49"/>
        <v>4</v>
      </c>
      <c r="AB82">
        <f t="shared" si="50"/>
        <v>10</v>
      </c>
      <c r="AC82">
        <f t="shared" si="51"/>
        <v>9</v>
      </c>
      <c r="AD82">
        <v>0</v>
      </c>
      <c r="AE82">
        <v>1</v>
      </c>
      <c r="AF82" t="s">
        <v>96</v>
      </c>
      <c r="AG82">
        <v>0</v>
      </c>
      <c r="AH82">
        <f t="shared" si="52"/>
        <v>0</v>
      </c>
      <c r="AI82">
        <f t="shared" si="53"/>
        <v>0</v>
      </c>
      <c r="AJ82">
        <v>0</v>
      </c>
      <c r="AK82">
        <v>0</v>
      </c>
      <c r="AL82">
        <f t="shared" si="54"/>
        <v>2</v>
      </c>
      <c r="AM82">
        <f t="shared" si="55"/>
        <v>0</v>
      </c>
      <c r="AN82">
        <v>2</v>
      </c>
      <c r="AO82" t="s">
        <v>147</v>
      </c>
      <c r="AP82">
        <f t="shared" si="56"/>
        <v>2</v>
      </c>
      <c r="AQ82">
        <f t="shared" si="57"/>
        <v>0</v>
      </c>
      <c r="AR82" t="str">
        <f t="shared" si="58"/>
        <v>Victoria</v>
      </c>
      <c r="AS82" s="3" t="str">
        <f t="shared" si="59"/>
        <v>Victoria dominante</v>
      </c>
    </row>
    <row r="83" spans="1:45" x14ac:dyDescent="0.3">
      <c r="A83" t="s">
        <v>220</v>
      </c>
      <c r="B83">
        <f t="shared" si="40"/>
        <v>2022</v>
      </c>
      <c r="C83" t="str">
        <f t="shared" si="41"/>
        <v>Sep</v>
      </c>
      <c r="D83" t="str" cm="1">
        <f t="array" ref="D83">_xlfn.IFS(OR(C83="Dec", C83="Jan", C83="Feb"), "Invierno", OR(C83="Mar", C83="Apr", C83="May"), "Primavera", OR(C83="Jun", C83="Jul", C83="Aug"), "Verano", OR(C83="Sep", C83="Oct", C83="Nov"), "Otoño")</f>
        <v>Otoño</v>
      </c>
      <c r="E83" t="s">
        <v>37</v>
      </c>
      <c r="F83" t="s">
        <v>38</v>
      </c>
      <c r="G83" t="s">
        <v>221</v>
      </c>
      <c r="H83" t="s">
        <v>25</v>
      </c>
      <c r="I83" t="s">
        <v>59</v>
      </c>
      <c r="J83">
        <v>14</v>
      </c>
      <c r="K83">
        <v>7</v>
      </c>
      <c r="L83">
        <f t="shared" si="42"/>
        <v>14</v>
      </c>
      <c r="M83">
        <f t="shared" si="43"/>
        <v>7</v>
      </c>
      <c r="N83">
        <v>3</v>
      </c>
      <c r="O83">
        <v>5</v>
      </c>
      <c r="P83">
        <f t="shared" si="44"/>
        <v>3</v>
      </c>
      <c r="Q83">
        <f t="shared" si="45"/>
        <v>5</v>
      </c>
      <c r="R83">
        <v>58</v>
      </c>
      <c r="S83">
        <v>42</v>
      </c>
      <c r="T83" s="10">
        <f t="shared" si="46"/>
        <v>58</v>
      </c>
      <c r="U83">
        <f t="shared" si="47"/>
        <v>42</v>
      </c>
      <c r="V83">
        <v>3</v>
      </c>
      <c r="W83">
        <v>3</v>
      </c>
      <c r="X83">
        <v>9</v>
      </c>
      <c r="Y83">
        <v>17</v>
      </c>
      <c r="Z83">
        <f t="shared" si="48"/>
        <v>3</v>
      </c>
      <c r="AA83">
        <f t="shared" si="49"/>
        <v>3</v>
      </c>
      <c r="AB83">
        <f t="shared" si="50"/>
        <v>9</v>
      </c>
      <c r="AC83">
        <f t="shared" si="51"/>
        <v>17</v>
      </c>
      <c r="AD83">
        <v>2</v>
      </c>
      <c r="AE83">
        <v>0</v>
      </c>
      <c r="AF83" t="s">
        <v>222</v>
      </c>
      <c r="AG83">
        <v>0</v>
      </c>
      <c r="AH83">
        <f t="shared" si="52"/>
        <v>0</v>
      </c>
      <c r="AI83">
        <f t="shared" si="53"/>
        <v>0</v>
      </c>
      <c r="AJ83">
        <v>0</v>
      </c>
      <c r="AK83">
        <v>1</v>
      </c>
      <c r="AL83">
        <f t="shared" si="54"/>
        <v>1</v>
      </c>
      <c r="AM83">
        <f t="shared" si="55"/>
        <v>1</v>
      </c>
      <c r="AN83">
        <v>1</v>
      </c>
      <c r="AO83" t="s">
        <v>111</v>
      </c>
      <c r="AP83">
        <f t="shared" si="56"/>
        <v>1</v>
      </c>
      <c r="AQ83">
        <f t="shared" si="57"/>
        <v>1</v>
      </c>
      <c r="AR83" t="str">
        <f t="shared" si="58"/>
        <v>Empate</v>
      </c>
      <c r="AS83" s="3" t="str">
        <f t="shared" si="59"/>
        <v>Empate</v>
      </c>
    </row>
    <row r="84" spans="1:45" x14ac:dyDescent="0.3">
      <c r="A84" t="s">
        <v>223</v>
      </c>
      <c r="B84">
        <f t="shared" si="40"/>
        <v>2022</v>
      </c>
      <c r="C84" t="str">
        <f t="shared" si="41"/>
        <v>Sep</v>
      </c>
      <c r="D84" t="str" cm="1">
        <f t="array" ref="D84">_xlfn.IFS(OR(C84="Dec", C84="Jan", C84="Feb"), "Invierno", OR(C84="Mar", C84="Apr", C84="May"), "Primavera", OR(C84="Jun", C84="Jul", C84="Aug"), "Verano", OR(C84="Sep", C84="Oct", C84="Nov"), "Otoño")</f>
        <v>Otoño</v>
      </c>
      <c r="E84" t="s">
        <v>62</v>
      </c>
      <c r="F84" t="s">
        <v>23</v>
      </c>
      <c r="G84" t="s">
        <v>83</v>
      </c>
      <c r="H84" t="s">
        <v>25</v>
      </c>
      <c r="I84" t="s">
        <v>113</v>
      </c>
      <c r="J84">
        <v>21</v>
      </c>
      <c r="K84">
        <v>4</v>
      </c>
      <c r="L84">
        <f t="shared" si="42"/>
        <v>4</v>
      </c>
      <c r="M84">
        <f t="shared" si="43"/>
        <v>21</v>
      </c>
      <c r="N84">
        <v>0</v>
      </c>
      <c r="O84">
        <v>5</v>
      </c>
      <c r="P84">
        <f t="shared" si="44"/>
        <v>5</v>
      </c>
      <c r="Q84">
        <f t="shared" si="45"/>
        <v>0</v>
      </c>
      <c r="R84">
        <v>56</v>
      </c>
      <c r="S84">
        <v>44</v>
      </c>
      <c r="T84" s="10">
        <f t="shared" si="46"/>
        <v>44</v>
      </c>
      <c r="U84">
        <f t="shared" si="47"/>
        <v>56</v>
      </c>
      <c r="V84">
        <v>5</v>
      </c>
      <c r="W84">
        <v>1</v>
      </c>
      <c r="X84">
        <v>9</v>
      </c>
      <c r="Y84">
        <v>19</v>
      </c>
      <c r="Z84">
        <f t="shared" si="48"/>
        <v>1</v>
      </c>
      <c r="AA84">
        <f t="shared" si="49"/>
        <v>5</v>
      </c>
      <c r="AB84">
        <f t="shared" si="50"/>
        <v>19</v>
      </c>
      <c r="AC84">
        <f t="shared" si="51"/>
        <v>9</v>
      </c>
      <c r="AD84">
        <v>1</v>
      </c>
      <c r="AE84">
        <v>0</v>
      </c>
      <c r="AF84" t="s">
        <v>89</v>
      </c>
      <c r="AG84">
        <v>0</v>
      </c>
      <c r="AH84">
        <f t="shared" si="52"/>
        <v>0</v>
      </c>
      <c r="AI84">
        <f t="shared" si="53"/>
        <v>0</v>
      </c>
      <c r="AJ84">
        <v>0</v>
      </c>
      <c r="AK84">
        <v>0</v>
      </c>
      <c r="AL84">
        <f t="shared" si="54"/>
        <v>1</v>
      </c>
      <c r="AM84">
        <f t="shared" si="55"/>
        <v>0</v>
      </c>
      <c r="AN84">
        <v>1</v>
      </c>
      <c r="AO84" t="s">
        <v>85</v>
      </c>
      <c r="AP84">
        <f t="shared" si="56"/>
        <v>1</v>
      </c>
      <c r="AQ84">
        <f t="shared" si="57"/>
        <v>0</v>
      </c>
      <c r="AR84" t="str">
        <f t="shared" si="58"/>
        <v>Victoria</v>
      </c>
      <c r="AS84" s="3" t="str">
        <f t="shared" si="59"/>
        <v>Victoria ajustada</v>
      </c>
    </row>
    <row r="85" spans="1:45" x14ac:dyDescent="0.3">
      <c r="A85" t="s">
        <v>224</v>
      </c>
      <c r="B85">
        <f t="shared" si="40"/>
        <v>2022</v>
      </c>
      <c r="C85" t="str">
        <f t="shared" si="41"/>
        <v>Oct</v>
      </c>
      <c r="D85" t="str" cm="1">
        <f t="array" ref="D85">_xlfn.IFS(OR(C85="Dec", C85="Jan", C85="Feb"), "Invierno", OR(C85="Mar", C85="Apr", C85="May"), "Primavera", OR(C85="Jun", C85="Jul", C85="Aug"), "Verano", OR(C85="Sep", C85="Oct", C85="Nov"), "Otoño")</f>
        <v>Otoño</v>
      </c>
      <c r="E85" t="s">
        <v>62</v>
      </c>
      <c r="F85" t="s">
        <v>38</v>
      </c>
      <c r="G85" t="s">
        <v>75</v>
      </c>
      <c r="H85" t="s">
        <v>32</v>
      </c>
      <c r="I85" t="s">
        <v>121</v>
      </c>
      <c r="J85">
        <v>10</v>
      </c>
      <c r="K85">
        <v>16</v>
      </c>
      <c r="L85">
        <f t="shared" si="42"/>
        <v>10</v>
      </c>
      <c r="M85">
        <f t="shared" si="43"/>
        <v>16</v>
      </c>
      <c r="N85">
        <v>5</v>
      </c>
      <c r="O85">
        <v>4</v>
      </c>
      <c r="P85">
        <f t="shared" si="44"/>
        <v>5</v>
      </c>
      <c r="Q85">
        <f t="shared" si="45"/>
        <v>4</v>
      </c>
      <c r="R85">
        <v>37</v>
      </c>
      <c r="S85">
        <v>63</v>
      </c>
      <c r="T85" s="10">
        <f t="shared" si="46"/>
        <v>37</v>
      </c>
      <c r="U85">
        <f t="shared" si="47"/>
        <v>63</v>
      </c>
      <c r="V85">
        <v>1</v>
      </c>
      <c r="W85">
        <v>5</v>
      </c>
      <c r="X85">
        <v>12</v>
      </c>
      <c r="Y85">
        <v>10</v>
      </c>
      <c r="Z85">
        <f t="shared" si="48"/>
        <v>1</v>
      </c>
      <c r="AA85">
        <f t="shared" si="49"/>
        <v>5</v>
      </c>
      <c r="AB85">
        <f t="shared" si="50"/>
        <v>12</v>
      </c>
      <c r="AC85">
        <f t="shared" si="51"/>
        <v>10</v>
      </c>
      <c r="AD85">
        <v>2</v>
      </c>
      <c r="AE85">
        <v>0</v>
      </c>
      <c r="AF85" t="s">
        <v>34</v>
      </c>
      <c r="AG85">
        <v>0</v>
      </c>
      <c r="AH85">
        <f t="shared" si="52"/>
        <v>0</v>
      </c>
      <c r="AI85">
        <f t="shared" si="53"/>
        <v>0</v>
      </c>
      <c r="AJ85">
        <v>0</v>
      </c>
      <c r="AK85">
        <v>1</v>
      </c>
      <c r="AL85">
        <f t="shared" si="54"/>
        <v>1</v>
      </c>
      <c r="AM85">
        <f t="shared" si="55"/>
        <v>0</v>
      </c>
      <c r="AN85">
        <v>0</v>
      </c>
      <c r="AO85" t="s">
        <v>71</v>
      </c>
      <c r="AP85">
        <f t="shared" si="56"/>
        <v>1</v>
      </c>
      <c r="AQ85">
        <f t="shared" si="57"/>
        <v>0</v>
      </c>
      <c r="AR85" t="str">
        <f t="shared" si="58"/>
        <v>Victoria</v>
      </c>
      <c r="AS85" s="3" t="str">
        <f t="shared" si="59"/>
        <v>Victoria ajustada</v>
      </c>
    </row>
    <row r="86" spans="1:45" x14ac:dyDescent="0.3">
      <c r="A86" t="s">
        <v>225</v>
      </c>
      <c r="B86">
        <f t="shared" si="40"/>
        <v>2022</v>
      </c>
      <c r="C86" t="str">
        <f t="shared" si="41"/>
        <v>Oct</v>
      </c>
      <c r="D86" t="str" cm="1">
        <f t="array" ref="D86">_xlfn.IFS(OR(C86="Dec", C86="Jan", C86="Feb"), "Invierno", OR(C86="Mar", C86="Apr", C86="May"), "Primavera", OR(C86="Jun", C86="Jul", C86="Aug"), "Verano", OR(C86="Sep", C86="Oct", C86="Nov"), "Otoño")</f>
        <v>Otoño</v>
      </c>
      <c r="E86" t="s">
        <v>30</v>
      </c>
      <c r="F86" t="s">
        <v>23</v>
      </c>
      <c r="G86" t="s">
        <v>73</v>
      </c>
      <c r="H86" t="s">
        <v>25</v>
      </c>
      <c r="I86" t="s">
        <v>88</v>
      </c>
      <c r="J86">
        <v>10</v>
      </c>
      <c r="K86">
        <v>9</v>
      </c>
      <c r="L86">
        <f t="shared" si="42"/>
        <v>9</v>
      </c>
      <c r="M86">
        <f t="shared" si="43"/>
        <v>10</v>
      </c>
      <c r="N86">
        <v>3</v>
      </c>
      <c r="O86">
        <v>0</v>
      </c>
      <c r="P86">
        <f t="shared" si="44"/>
        <v>0</v>
      </c>
      <c r="Q86">
        <f t="shared" si="45"/>
        <v>3</v>
      </c>
      <c r="R86">
        <v>59</v>
      </c>
      <c r="S86">
        <v>41</v>
      </c>
      <c r="T86" s="10">
        <f t="shared" si="46"/>
        <v>41</v>
      </c>
      <c r="U86">
        <f t="shared" si="47"/>
        <v>59</v>
      </c>
      <c r="V86">
        <v>5</v>
      </c>
      <c r="W86">
        <v>3</v>
      </c>
      <c r="X86">
        <v>11</v>
      </c>
      <c r="Y86">
        <v>12</v>
      </c>
      <c r="Z86">
        <f t="shared" si="48"/>
        <v>3</v>
      </c>
      <c r="AA86">
        <f t="shared" si="49"/>
        <v>5</v>
      </c>
      <c r="AB86">
        <f t="shared" si="50"/>
        <v>12</v>
      </c>
      <c r="AC86">
        <f t="shared" si="51"/>
        <v>11</v>
      </c>
      <c r="AD86">
        <v>0</v>
      </c>
      <c r="AE86">
        <v>1</v>
      </c>
      <c r="AF86" t="s">
        <v>60</v>
      </c>
      <c r="AG86">
        <v>0</v>
      </c>
      <c r="AH86">
        <f t="shared" si="52"/>
        <v>1</v>
      </c>
      <c r="AI86">
        <f t="shared" si="53"/>
        <v>0</v>
      </c>
      <c r="AJ86">
        <v>1</v>
      </c>
      <c r="AK86">
        <v>2</v>
      </c>
      <c r="AL86">
        <f t="shared" si="54"/>
        <v>1</v>
      </c>
      <c r="AM86">
        <f t="shared" si="55"/>
        <v>2</v>
      </c>
      <c r="AN86">
        <v>1</v>
      </c>
      <c r="AO86" t="s">
        <v>135</v>
      </c>
      <c r="AP86">
        <f t="shared" si="56"/>
        <v>2</v>
      </c>
      <c r="AQ86">
        <f t="shared" si="57"/>
        <v>2</v>
      </c>
      <c r="AR86" t="str">
        <f t="shared" si="58"/>
        <v>Empate</v>
      </c>
      <c r="AS86" s="3" t="str">
        <f t="shared" si="59"/>
        <v>Empate</v>
      </c>
    </row>
    <row r="87" spans="1:45" x14ac:dyDescent="0.3">
      <c r="A87" t="s">
        <v>226</v>
      </c>
      <c r="B87">
        <f t="shared" si="40"/>
        <v>2022</v>
      </c>
      <c r="C87" t="str">
        <f t="shared" si="41"/>
        <v>Oct</v>
      </c>
      <c r="D87" t="str" cm="1">
        <f t="array" ref="D87">_xlfn.IFS(OR(C87="Dec", C87="Jan", C87="Feb"), "Invierno", OR(C87="Mar", C87="Apr", C87="May"), "Primavera", OR(C87="Jun", C87="Jul", C87="Aug"), "Verano", OR(C87="Sep", C87="Oct", C87="Nov"), "Otoño")</f>
        <v>Otoño</v>
      </c>
      <c r="E87" t="s">
        <v>22</v>
      </c>
      <c r="F87" t="s">
        <v>38</v>
      </c>
      <c r="G87" t="s">
        <v>91</v>
      </c>
      <c r="H87" t="s">
        <v>32</v>
      </c>
      <c r="I87" t="s">
        <v>161</v>
      </c>
      <c r="J87">
        <v>16</v>
      </c>
      <c r="K87">
        <v>11</v>
      </c>
      <c r="L87">
        <f t="shared" si="42"/>
        <v>16</v>
      </c>
      <c r="M87">
        <f t="shared" si="43"/>
        <v>11</v>
      </c>
      <c r="N87">
        <v>2</v>
      </c>
      <c r="O87">
        <v>2</v>
      </c>
      <c r="P87">
        <f t="shared" si="44"/>
        <v>2</v>
      </c>
      <c r="Q87">
        <f t="shared" si="45"/>
        <v>2</v>
      </c>
      <c r="R87">
        <v>48</v>
      </c>
      <c r="S87">
        <v>52</v>
      </c>
      <c r="T87" s="10">
        <f t="shared" si="46"/>
        <v>48</v>
      </c>
      <c r="U87">
        <f t="shared" si="47"/>
        <v>52</v>
      </c>
      <c r="V87">
        <v>3</v>
      </c>
      <c r="W87">
        <v>3</v>
      </c>
      <c r="X87">
        <v>10</v>
      </c>
      <c r="Y87">
        <v>8</v>
      </c>
      <c r="Z87">
        <f t="shared" si="48"/>
        <v>3</v>
      </c>
      <c r="AA87">
        <f t="shared" si="49"/>
        <v>3</v>
      </c>
      <c r="AB87">
        <f t="shared" si="50"/>
        <v>10</v>
      </c>
      <c r="AC87">
        <f t="shared" si="51"/>
        <v>8</v>
      </c>
      <c r="AD87">
        <v>3</v>
      </c>
      <c r="AE87">
        <v>2</v>
      </c>
      <c r="AF87" t="s">
        <v>227</v>
      </c>
      <c r="AG87">
        <v>0</v>
      </c>
      <c r="AH87">
        <f t="shared" si="52"/>
        <v>0</v>
      </c>
      <c r="AI87">
        <f t="shared" si="53"/>
        <v>1</v>
      </c>
      <c r="AJ87">
        <v>1</v>
      </c>
      <c r="AK87">
        <v>2</v>
      </c>
      <c r="AL87">
        <f t="shared" si="54"/>
        <v>2</v>
      </c>
      <c r="AM87">
        <f t="shared" si="55"/>
        <v>0</v>
      </c>
      <c r="AN87">
        <v>0</v>
      </c>
      <c r="AO87" t="s">
        <v>143</v>
      </c>
      <c r="AP87">
        <f t="shared" si="56"/>
        <v>2</v>
      </c>
      <c r="AQ87">
        <f t="shared" si="57"/>
        <v>1</v>
      </c>
      <c r="AR87" t="str">
        <f t="shared" si="58"/>
        <v>Victoria</v>
      </c>
      <c r="AS87" s="3" t="str">
        <f t="shared" si="59"/>
        <v>Victoria ajustada</v>
      </c>
    </row>
    <row r="88" spans="1:45" x14ac:dyDescent="0.3">
      <c r="A88" t="s">
        <v>228</v>
      </c>
      <c r="B88">
        <f t="shared" si="40"/>
        <v>2022</v>
      </c>
      <c r="C88" t="str">
        <f t="shared" si="41"/>
        <v>Oct</v>
      </c>
      <c r="D88" t="str" cm="1">
        <f t="array" ref="D88">_xlfn.IFS(OR(C88="Dec", C88="Jan", C88="Feb"), "Invierno", OR(C88="Mar", C88="Apr", C88="May"), "Primavera", OR(C88="Jun", C88="Jul", C88="Aug"), "Verano", OR(C88="Sep", C88="Oct", C88="Nov"), "Otoño")</f>
        <v>Otoño</v>
      </c>
      <c r="E88" t="s">
        <v>62</v>
      </c>
      <c r="F88" t="s">
        <v>38</v>
      </c>
      <c r="G88" t="s">
        <v>24</v>
      </c>
      <c r="H88" t="s">
        <v>32</v>
      </c>
      <c r="I88" t="s">
        <v>69</v>
      </c>
      <c r="J88">
        <v>7</v>
      </c>
      <c r="K88">
        <v>12</v>
      </c>
      <c r="L88">
        <f t="shared" si="42"/>
        <v>7</v>
      </c>
      <c r="M88">
        <f t="shared" si="43"/>
        <v>12</v>
      </c>
      <c r="N88">
        <v>3</v>
      </c>
      <c r="O88">
        <v>0</v>
      </c>
      <c r="P88">
        <f t="shared" si="44"/>
        <v>3</v>
      </c>
      <c r="Q88">
        <f t="shared" si="45"/>
        <v>0</v>
      </c>
      <c r="R88">
        <v>47</v>
      </c>
      <c r="S88">
        <v>53</v>
      </c>
      <c r="T88" s="10">
        <f t="shared" si="46"/>
        <v>47</v>
      </c>
      <c r="U88">
        <f t="shared" si="47"/>
        <v>53</v>
      </c>
      <c r="V88">
        <v>5</v>
      </c>
      <c r="W88">
        <v>8</v>
      </c>
      <c r="X88">
        <v>15</v>
      </c>
      <c r="Y88">
        <v>9</v>
      </c>
      <c r="Z88">
        <f t="shared" si="48"/>
        <v>5</v>
      </c>
      <c r="AA88">
        <f t="shared" si="49"/>
        <v>8</v>
      </c>
      <c r="AB88">
        <f t="shared" si="50"/>
        <v>15</v>
      </c>
      <c r="AC88">
        <f t="shared" si="51"/>
        <v>9</v>
      </c>
      <c r="AD88">
        <v>1</v>
      </c>
      <c r="AE88">
        <v>0</v>
      </c>
      <c r="AF88" t="s">
        <v>176</v>
      </c>
      <c r="AG88">
        <v>0</v>
      </c>
      <c r="AH88">
        <f t="shared" si="52"/>
        <v>0</v>
      </c>
      <c r="AI88">
        <f t="shared" si="53"/>
        <v>1</v>
      </c>
      <c r="AJ88">
        <v>1</v>
      </c>
      <c r="AK88">
        <v>0</v>
      </c>
      <c r="AL88">
        <f t="shared" si="54"/>
        <v>0</v>
      </c>
      <c r="AM88">
        <f t="shared" si="55"/>
        <v>1</v>
      </c>
      <c r="AN88">
        <v>1</v>
      </c>
      <c r="AO88" t="s">
        <v>85</v>
      </c>
      <c r="AP88">
        <f t="shared" si="56"/>
        <v>0</v>
      </c>
      <c r="AQ88">
        <f t="shared" si="57"/>
        <v>2</v>
      </c>
      <c r="AR88" t="str">
        <f t="shared" si="58"/>
        <v>Derrota</v>
      </c>
      <c r="AS88" s="3" t="str">
        <f t="shared" si="59"/>
        <v>Derrota ajustada</v>
      </c>
    </row>
    <row r="89" spans="1:45" x14ac:dyDescent="0.3">
      <c r="A89" t="s">
        <v>229</v>
      </c>
      <c r="B89">
        <f t="shared" si="40"/>
        <v>2022</v>
      </c>
      <c r="C89" t="str">
        <f t="shared" si="41"/>
        <v>Oct</v>
      </c>
      <c r="D89" t="str" cm="1">
        <f t="array" ref="D89">_xlfn.IFS(OR(C89="Dec", C89="Jan", C89="Feb"), "Invierno", OR(C89="Mar", C89="Apr", C89="May"), "Primavera", OR(C89="Jun", C89="Jul", C89="Aug"), "Verano", OR(C89="Sep", C89="Oct", C89="Nov"), "Otoño")</f>
        <v>Otoño</v>
      </c>
      <c r="E89" t="s">
        <v>37</v>
      </c>
      <c r="F89" t="s">
        <v>23</v>
      </c>
      <c r="G89" t="s">
        <v>166</v>
      </c>
      <c r="H89" t="s">
        <v>25</v>
      </c>
      <c r="I89" t="s">
        <v>69</v>
      </c>
      <c r="J89">
        <v>13</v>
      </c>
      <c r="K89">
        <v>20</v>
      </c>
      <c r="L89">
        <f t="shared" si="42"/>
        <v>20</v>
      </c>
      <c r="M89">
        <f t="shared" si="43"/>
        <v>13</v>
      </c>
      <c r="N89">
        <v>4</v>
      </c>
      <c r="O89">
        <v>3</v>
      </c>
      <c r="P89">
        <f t="shared" si="44"/>
        <v>3</v>
      </c>
      <c r="Q89">
        <f t="shared" si="45"/>
        <v>4</v>
      </c>
      <c r="R89">
        <v>52</v>
      </c>
      <c r="S89">
        <v>48</v>
      </c>
      <c r="T89" s="10">
        <f t="shared" si="46"/>
        <v>48</v>
      </c>
      <c r="U89">
        <f t="shared" si="47"/>
        <v>52</v>
      </c>
      <c r="V89">
        <v>7</v>
      </c>
      <c r="W89">
        <v>2</v>
      </c>
      <c r="X89">
        <v>10</v>
      </c>
      <c r="Y89">
        <v>13</v>
      </c>
      <c r="Z89">
        <f t="shared" si="48"/>
        <v>2</v>
      </c>
      <c r="AA89">
        <f t="shared" si="49"/>
        <v>7</v>
      </c>
      <c r="AB89">
        <f t="shared" si="50"/>
        <v>13</v>
      </c>
      <c r="AC89">
        <f t="shared" si="51"/>
        <v>10</v>
      </c>
      <c r="AD89">
        <v>4</v>
      </c>
      <c r="AE89">
        <v>2</v>
      </c>
      <c r="AF89" t="s">
        <v>178</v>
      </c>
      <c r="AG89">
        <v>0</v>
      </c>
      <c r="AH89">
        <f t="shared" si="52"/>
        <v>1</v>
      </c>
      <c r="AI89">
        <f t="shared" si="53"/>
        <v>0</v>
      </c>
      <c r="AJ89">
        <v>1</v>
      </c>
      <c r="AK89">
        <v>0</v>
      </c>
      <c r="AL89">
        <f t="shared" si="54"/>
        <v>1</v>
      </c>
      <c r="AM89">
        <f t="shared" si="55"/>
        <v>0</v>
      </c>
      <c r="AN89">
        <v>1</v>
      </c>
      <c r="AO89" t="s">
        <v>141</v>
      </c>
      <c r="AP89">
        <f t="shared" si="56"/>
        <v>2</v>
      </c>
      <c r="AQ89">
        <f t="shared" si="57"/>
        <v>0</v>
      </c>
      <c r="AR89" t="str">
        <f t="shared" si="58"/>
        <v>Victoria</v>
      </c>
      <c r="AS89" s="3" t="str">
        <f t="shared" si="59"/>
        <v>Victoria dominante</v>
      </c>
    </row>
    <row r="90" spans="1:45" x14ac:dyDescent="0.3">
      <c r="A90" t="s">
        <v>230</v>
      </c>
      <c r="B90">
        <f t="shared" si="40"/>
        <v>2022</v>
      </c>
      <c r="C90" t="str">
        <f t="shared" si="41"/>
        <v>Nov</v>
      </c>
      <c r="D90" t="str" cm="1">
        <f t="array" ref="D90">_xlfn.IFS(OR(C90="Dec", C90="Jan", C90="Feb"), "Invierno", OR(C90="Mar", C90="Apr", C90="May"), "Primavera", OR(C90="Jun", C90="Jul", C90="Aug"), "Verano", OR(C90="Sep", C90="Oct", C90="Nov"), "Otoño")</f>
        <v>Otoño</v>
      </c>
      <c r="E90" t="s">
        <v>62</v>
      </c>
      <c r="F90" t="s">
        <v>38</v>
      </c>
      <c r="G90" t="s">
        <v>44</v>
      </c>
      <c r="H90" t="s">
        <v>32</v>
      </c>
      <c r="I90" t="s">
        <v>54</v>
      </c>
      <c r="J90">
        <v>17</v>
      </c>
      <c r="K90">
        <v>7</v>
      </c>
      <c r="L90">
        <f t="shared" si="42"/>
        <v>17</v>
      </c>
      <c r="M90">
        <f t="shared" si="43"/>
        <v>7</v>
      </c>
      <c r="N90">
        <v>3</v>
      </c>
      <c r="O90">
        <v>3</v>
      </c>
      <c r="P90">
        <f t="shared" si="44"/>
        <v>3</v>
      </c>
      <c r="Q90">
        <f t="shared" si="45"/>
        <v>3</v>
      </c>
      <c r="R90">
        <v>54</v>
      </c>
      <c r="S90">
        <v>46</v>
      </c>
      <c r="T90" s="10">
        <f t="shared" si="46"/>
        <v>54</v>
      </c>
      <c r="U90">
        <f t="shared" si="47"/>
        <v>46</v>
      </c>
      <c r="V90">
        <v>5</v>
      </c>
      <c r="W90">
        <v>2</v>
      </c>
      <c r="X90">
        <v>10</v>
      </c>
      <c r="Y90">
        <v>9</v>
      </c>
      <c r="Z90">
        <f t="shared" si="48"/>
        <v>5</v>
      </c>
      <c r="AA90">
        <f t="shared" si="49"/>
        <v>2</v>
      </c>
      <c r="AB90">
        <f t="shared" si="50"/>
        <v>10</v>
      </c>
      <c r="AC90">
        <f t="shared" si="51"/>
        <v>9</v>
      </c>
      <c r="AD90">
        <v>2</v>
      </c>
      <c r="AE90">
        <v>2</v>
      </c>
      <c r="AF90" t="s">
        <v>77</v>
      </c>
      <c r="AG90">
        <v>1</v>
      </c>
      <c r="AH90">
        <f t="shared" si="52"/>
        <v>1</v>
      </c>
      <c r="AI90">
        <f t="shared" si="53"/>
        <v>2</v>
      </c>
      <c r="AJ90">
        <v>2</v>
      </c>
      <c r="AK90">
        <v>0</v>
      </c>
      <c r="AL90">
        <f t="shared" si="54"/>
        <v>0</v>
      </c>
      <c r="AM90">
        <f t="shared" si="55"/>
        <v>0</v>
      </c>
      <c r="AN90">
        <v>0</v>
      </c>
      <c r="AO90" t="s">
        <v>107</v>
      </c>
      <c r="AP90">
        <f t="shared" si="56"/>
        <v>1</v>
      </c>
      <c r="AQ90">
        <f t="shared" si="57"/>
        <v>2</v>
      </c>
      <c r="AR90" t="str">
        <f t="shared" si="58"/>
        <v>Derrota</v>
      </c>
      <c r="AS90" s="3" t="str">
        <f t="shared" si="59"/>
        <v>Derrota ajustada</v>
      </c>
    </row>
    <row r="91" spans="1:45" x14ac:dyDescent="0.3">
      <c r="A91" t="s">
        <v>231</v>
      </c>
      <c r="B91">
        <f t="shared" si="40"/>
        <v>2022</v>
      </c>
      <c r="C91" t="str">
        <f t="shared" si="41"/>
        <v>Nov</v>
      </c>
      <c r="D91" t="str" cm="1">
        <f t="array" ref="D91">_xlfn.IFS(OR(C91="Dec", C91="Jan", C91="Feb"), "Invierno", OR(C91="Mar", C91="Apr", C91="May"), "Primavera", OR(C91="Jun", C91="Jul", C91="Aug"), "Verano", OR(C91="Sep", C91="Oct", C91="Nov"), "Otoño")</f>
        <v>Otoño</v>
      </c>
      <c r="E91" t="s">
        <v>80</v>
      </c>
      <c r="F91" t="s">
        <v>23</v>
      </c>
      <c r="G91" t="s">
        <v>232</v>
      </c>
      <c r="H91" t="s">
        <v>32</v>
      </c>
      <c r="I91" t="s">
        <v>161</v>
      </c>
      <c r="J91">
        <v>0</v>
      </c>
      <c r="K91">
        <v>0</v>
      </c>
      <c r="L91">
        <f t="shared" si="42"/>
        <v>0</v>
      </c>
      <c r="M91">
        <f t="shared" si="43"/>
        <v>0</v>
      </c>
      <c r="N91">
        <v>0</v>
      </c>
      <c r="O91">
        <v>0</v>
      </c>
      <c r="P91">
        <f t="shared" si="44"/>
        <v>0</v>
      </c>
      <c r="Q91">
        <f t="shared" si="45"/>
        <v>0</v>
      </c>
      <c r="R91">
        <v>0</v>
      </c>
      <c r="S91">
        <v>0</v>
      </c>
      <c r="T91" s="10">
        <f t="shared" si="46"/>
        <v>0</v>
      </c>
      <c r="U91">
        <f t="shared" si="47"/>
        <v>0</v>
      </c>
      <c r="V91">
        <v>0</v>
      </c>
      <c r="W91">
        <v>0</v>
      </c>
      <c r="X91">
        <v>0</v>
      </c>
      <c r="Y91">
        <v>0</v>
      </c>
      <c r="Z91">
        <f t="shared" si="48"/>
        <v>0</v>
      </c>
      <c r="AA91">
        <f t="shared" si="49"/>
        <v>0</v>
      </c>
      <c r="AB91">
        <f t="shared" si="50"/>
        <v>0</v>
      </c>
      <c r="AC91">
        <f t="shared" si="51"/>
        <v>0</v>
      </c>
      <c r="AD91">
        <v>0</v>
      </c>
      <c r="AE91">
        <v>0</v>
      </c>
      <c r="AF91" t="s">
        <v>334</v>
      </c>
      <c r="AG91">
        <v>2</v>
      </c>
      <c r="AH91">
        <f t="shared" si="52"/>
        <v>1</v>
      </c>
      <c r="AI91">
        <f t="shared" si="53"/>
        <v>2</v>
      </c>
      <c r="AJ91">
        <v>1</v>
      </c>
      <c r="AK91">
        <v>0</v>
      </c>
      <c r="AL91">
        <f t="shared" si="54"/>
        <v>0</v>
      </c>
      <c r="AM91">
        <f t="shared" si="55"/>
        <v>0</v>
      </c>
      <c r="AN91">
        <v>0</v>
      </c>
      <c r="AO91" t="s">
        <v>97</v>
      </c>
      <c r="AP91">
        <f t="shared" si="56"/>
        <v>1</v>
      </c>
      <c r="AQ91">
        <f t="shared" si="57"/>
        <v>2</v>
      </c>
      <c r="AR91" t="str">
        <f t="shared" si="58"/>
        <v>Derrota</v>
      </c>
      <c r="AS91" s="3" t="str">
        <f t="shared" si="59"/>
        <v>Derrota ajustada</v>
      </c>
    </row>
    <row r="92" spans="1:45" x14ac:dyDescent="0.3">
      <c r="A92" t="s">
        <v>233</v>
      </c>
      <c r="B92">
        <f t="shared" si="40"/>
        <v>2022</v>
      </c>
      <c r="C92" t="str">
        <f t="shared" si="41"/>
        <v>Nov</v>
      </c>
      <c r="D92" t="str" cm="1">
        <f t="array" ref="D92">_xlfn.IFS(OR(C92="Dec", C92="Jan", C92="Feb"), "Invierno", OR(C92="Mar", C92="Apr", C92="May"), "Primavera", OR(C92="Jun", C92="Jul", C92="Aug"), "Verano", OR(C92="Sep", C92="Oct", C92="Nov"), "Otoño")</f>
        <v>Otoño</v>
      </c>
      <c r="E92" t="s">
        <v>37</v>
      </c>
      <c r="F92" t="s">
        <v>38</v>
      </c>
      <c r="G92" t="s">
        <v>58</v>
      </c>
      <c r="H92" t="s">
        <v>126</v>
      </c>
      <c r="I92" t="s">
        <v>132</v>
      </c>
      <c r="J92">
        <v>19</v>
      </c>
      <c r="K92">
        <v>14</v>
      </c>
      <c r="L92">
        <f t="shared" si="42"/>
        <v>19</v>
      </c>
      <c r="M92">
        <f t="shared" si="43"/>
        <v>14</v>
      </c>
      <c r="N92">
        <v>1</v>
      </c>
      <c r="O92">
        <v>5</v>
      </c>
      <c r="P92">
        <f t="shared" si="44"/>
        <v>1</v>
      </c>
      <c r="Q92">
        <f t="shared" si="45"/>
        <v>5</v>
      </c>
      <c r="R92">
        <v>46</v>
      </c>
      <c r="S92">
        <v>54</v>
      </c>
      <c r="T92" s="10">
        <f t="shared" si="46"/>
        <v>46</v>
      </c>
      <c r="U92">
        <f t="shared" si="47"/>
        <v>54</v>
      </c>
      <c r="V92">
        <v>5</v>
      </c>
      <c r="W92">
        <v>4</v>
      </c>
      <c r="X92">
        <v>10</v>
      </c>
      <c r="Y92">
        <v>11</v>
      </c>
      <c r="Z92">
        <f t="shared" si="48"/>
        <v>5</v>
      </c>
      <c r="AA92">
        <f t="shared" si="49"/>
        <v>4</v>
      </c>
      <c r="AB92">
        <f t="shared" si="50"/>
        <v>10</v>
      </c>
      <c r="AC92">
        <f t="shared" si="51"/>
        <v>11</v>
      </c>
      <c r="AD92">
        <v>1</v>
      </c>
      <c r="AE92">
        <v>0</v>
      </c>
      <c r="AF92" t="s">
        <v>89</v>
      </c>
      <c r="AG92">
        <v>1</v>
      </c>
      <c r="AH92">
        <f t="shared" si="52"/>
        <v>1</v>
      </c>
      <c r="AI92">
        <f t="shared" si="53"/>
        <v>1</v>
      </c>
      <c r="AJ92">
        <v>1</v>
      </c>
      <c r="AK92">
        <v>1</v>
      </c>
      <c r="AL92">
        <f t="shared" si="54"/>
        <v>1</v>
      </c>
      <c r="AM92">
        <f t="shared" si="55"/>
        <v>2</v>
      </c>
      <c r="AN92">
        <v>2</v>
      </c>
      <c r="AO92" t="s">
        <v>81</v>
      </c>
      <c r="AP92">
        <f t="shared" si="56"/>
        <v>2</v>
      </c>
      <c r="AQ92">
        <f t="shared" si="57"/>
        <v>3</v>
      </c>
      <c r="AR92" t="str">
        <f t="shared" si="58"/>
        <v>Derrota</v>
      </c>
      <c r="AS92" s="3" t="str">
        <f t="shared" si="59"/>
        <v>Derrota ajustada</v>
      </c>
    </row>
    <row r="93" spans="1:45" x14ac:dyDescent="0.3">
      <c r="A93" t="s">
        <v>234</v>
      </c>
      <c r="B93">
        <f t="shared" si="40"/>
        <v>2023</v>
      </c>
      <c r="C93" t="str">
        <f t="shared" si="41"/>
        <v>Jan</v>
      </c>
      <c r="D93" t="str" cm="1">
        <f t="array" ref="D93">_xlfn.IFS(OR(C93="Dec", C93="Jan", C93="Feb"), "Invierno", OR(C93="Mar", C93="Apr", C93="May"), "Primavera", OR(C93="Jun", C93="Jul", C93="Aug"), "Verano", OR(C93="Sep", C93="Oct", C93="Nov"), "Otoño")</f>
        <v>Invierno</v>
      </c>
      <c r="E93" t="s">
        <v>235</v>
      </c>
      <c r="F93" t="s">
        <v>23</v>
      </c>
      <c r="G93" t="s">
        <v>63</v>
      </c>
      <c r="H93" t="s">
        <v>25</v>
      </c>
      <c r="I93" t="s">
        <v>88</v>
      </c>
      <c r="J93">
        <v>7</v>
      </c>
      <c r="K93">
        <v>19</v>
      </c>
      <c r="L93">
        <f t="shared" si="42"/>
        <v>19</v>
      </c>
      <c r="M93">
        <f t="shared" si="43"/>
        <v>7</v>
      </c>
      <c r="N93">
        <v>1</v>
      </c>
      <c r="O93">
        <v>1</v>
      </c>
      <c r="P93">
        <f t="shared" si="44"/>
        <v>1</v>
      </c>
      <c r="Q93">
        <f t="shared" si="45"/>
        <v>1</v>
      </c>
      <c r="R93">
        <v>35</v>
      </c>
      <c r="S93">
        <v>65</v>
      </c>
      <c r="T93" s="10">
        <f t="shared" si="46"/>
        <v>65</v>
      </c>
      <c r="U93">
        <f t="shared" si="47"/>
        <v>35</v>
      </c>
      <c r="V93">
        <v>3</v>
      </c>
      <c r="W93">
        <v>8</v>
      </c>
      <c r="X93">
        <v>11</v>
      </c>
      <c r="Y93">
        <v>11</v>
      </c>
      <c r="Z93">
        <f t="shared" si="48"/>
        <v>8</v>
      </c>
      <c r="AA93">
        <f t="shared" si="49"/>
        <v>3</v>
      </c>
      <c r="AB93">
        <f t="shared" si="50"/>
        <v>11</v>
      </c>
      <c r="AC93">
        <f t="shared" si="51"/>
        <v>11</v>
      </c>
      <c r="AD93">
        <v>1</v>
      </c>
      <c r="AE93">
        <v>1</v>
      </c>
      <c r="AF93" t="s">
        <v>146</v>
      </c>
      <c r="AG93">
        <v>2</v>
      </c>
      <c r="AH93">
        <f t="shared" si="52"/>
        <v>0</v>
      </c>
      <c r="AI93">
        <f t="shared" si="53"/>
        <v>2</v>
      </c>
      <c r="AJ93">
        <v>0</v>
      </c>
      <c r="AK93">
        <v>0</v>
      </c>
      <c r="AL93">
        <f t="shared" si="54"/>
        <v>2</v>
      </c>
      <c r="AM93">
        <f t="shared" si="55"/>
        <v>0</v>
      </c>
      <c r="AN93">
        <v>2</v>
      </c>
      <c r="AO93" t="s">
        <v>78</v>
      </c>
      <c r="AP93">
        <f t="shared" si="56"/>
        <v>2</v>
      </c>
      <c r="AQ93">
        <f t="shared" si="57"/>
        <v>2</v>
      </c>
      <c r="AR93" t="str">
        <f t="shared" si="58"/>
        <v>Empate</v>
      </c>
      <c r="AS93" s="3" t="str">
        <f t="shared" si="59"/>
        <v>Empate</v>
      </c>
    </row>
    <row r="94" spans="1:45" x14ac:dyDescent="0.3">
      <c r="A94" t="s">
        <v>236</v>
      </c>
      <c r="B94">
        <f t="shared" si="40"/>
        <v>2023</v>
      </c>
      <c r="C94" t="str">
        <f t="shared" si="41"/>
        <v>Jan</v>
      </c>
      <c r="D94" t="str" cm="1">
        <f t="array" ref="D94">_xlfn.IFS(OR(C94="Dec", C94="Jan", C94="Feb"), "Invierno", OR(C94="Mar", C94="Apr", C94="May"), "Primavera", OR(C94="Jun", C94="Jul", C94="Aug"), "Verano", OR(C94="Sep", C94="Oct", C94="Nov"), "Otoño")</f>
        <v>Invierno</v>
      </c>
      <c r="E94" t="s">
        <v>22</v>
      </c>
      <c r="F94" t="s">
        <v>23</v>
      </c>
      <c r="G94" t="s">
        <v>87</v>
      </c>
      <c r="H94" t="s">
        <v>32</v>
      </c>
      <c r="I94" t="s">
        <v>54</v>
      </c>
      <c r="J94">
        <v>12</v>
      </c>
      <c r="K94">
        <v>7</v>
      </c>
      <c r="L94">
        <f t="shared" si="42"/>
        <v>7</v>
      </c>
      <c r="M94">
        <f t="shared" si="43"/>
        <v>12</v>
      </c>
      <c r="N94">
        <v>1</v>
      </c>
      <c r="O94">
        <v>2</v>
      </c>
      <c r="P94">
        <f t="shared" si="44"/>
        <v>2</v>
      </c>
      <c r="Q94">
        <f t="shared" si="45"/>
        <v>1</v>
      </c>
      <c r="R94">
        <v>51</v>
      </c>
      <c r="S94">
        <v>49</v>
      </c>
      <c r="T94" s="10">
        <f t="shared" si="46"/>
        <v>49</v>
      </c>
      <c r="U94">
        <f t="shared" si="47"/>
        <v>51</v>
      </c>
      <c r="V94">
        <v>4</v>
      </c>
      <c r="W94">
        <v>0</v>
      </c>
      <c r="X94">
        <v>16</v>
      </c>
      <c r="Y94">
        <v>15</v>
      </c>
      <c r="Z94">
        <f t="shared" si="48"/>
        <v>0</v>
      </c>
      <c r="AA94">
        <f t="shared" si="49"/>
        <v>4</v>
      </c>
      <c r="AB94">
        <f t="shared" si="50"/>
        <v>15</v>
      </c>
      <c r="AC94">
        <f t="shared" si="51"/>
        <v>16</v>
      </c>
      <c r="AD94">
        <v>1</v>
      </c>
      <c r="AE94">
        <v>1</v>
      </c>
      <c r="AF94" t="s">
        <v>46</v>
      </c>
      <c r="AG94">
        <v>1</v>
      </c>
      <c r="AH94">
        <f t="shared" si="52"/>
        <v>0</v>
      </c>
      <c r="AI94">
        <f t="shared" si="53"/>
        <v>1</v>
      </c>
      <c r="AJ94">
        <v>0</v>
      </c>
      <c r="AK94">
        <v>0</v>
      </c>
      <c r="AL94">
        <f t="shared" si="54"/>
        <v>2</v>
      </c>
      <c r="AM94">
        <f t="shared" si="55"/>
        <v>0</v>
      </c>
      <c r="AN94">
        <v>2</v>
      </c>
      <c r="AO94" t="s">
        <v>141</v>
      </c>
      <c r="AP94">
        <f t="shared" si="56"/>
        <v>2</v>
      </c>
      <c r="AQ94">
        <f t="shared" si="57"/>
        <v>1</v>
      </c>
      <c r="AR94" t="str">
        <f t="shared" si="58"/>
        <v>Victoria</v>
      </c>
      <c r="AS94" s="3" t="str">
        <f t="shared" si="59"/>
        <v>Victoria ajustada</v>
      </c>
    </row>
    <row r="95" spans="1:45" x14ac:dyDescent="0.3">
      <c r="A95" t="s">
        <v>237</v>
      </c>
      <c r="B95">
        <f t="shared" si="40"/>
        <v>2023</v>
      </c>
      <c r="C95" t="str">
        <f t="shared" si="41"/>
        <v>Jan</v>
      </c>
      <c r="D95" t="str" cm="1">
        <f t="array" ref="D95">_xlfn.IFS(OR(C95="Dec", C95="Jan", C95="Feb"), "Invierno", OR(C95="Mar", C95="Apr", C95="May"), "Primavera", OR(C95="Jun", C95="Jul", C95="Aug"), "Verano", OR(C95="Sep", C95="Oct", C95="Nov"), "Otoño")</f>
        <v>Invierno</v>
      </c>
      <c r="E95" t="s">
        <v>62</v>
      </c>
      <c r="F95" t="s">
        <v>38</v>
      </c>
      <c r="G95" t="s">
        <v>158</v>
      </c>
      <c r="H95" t="s">
        <v>25</v>
      </c>
      <c r="I95" t="s">
        <v>238</v>
      </c>
      <c r="J95">
        <v>19</v>
      </c>
      <c r="K95">
        <v>7</v>
      </c>
      <c r="L95">
        <f t="shared" si="42"/>
        <v>19</v>
      </c>
      <c r="M95">
        <f t="shared" si="43"/>
        <v>7</v>
      </c>
      <c r="N95">
        <v>0</v>
      </c>
      <c r="O95">
        <v>5</v>
      </c>
      <c r="P95">
        <f t="shared" si="44"/>
        <v>0</v>
      </c>
      <c r="Q95">
        <f t="shared" si="45"/>
        <v>5</v>
      </c>
      <c r="R95">
        <v>57</v>
      </c>
      <c r="S95">
        <v>43</v>
      </c>
      <c r="T95" s="10">
        <f t="shared" si="46"/>
        <v>57</v>
      </c>
      <c r="U95">
        <f t="shared" si="47"/>
        <v>43</v>
      </c>
      <c r="V95">
        <v>5</v>
      </c>
      <c r="W95">
        <v>2</v>
      </c>
      <c r="X95">
        <v>10</v>
      </c>
      <c r="Y95">
        <v>12</v>
      </c>
      <c r="Z95">
        <f t="shared" si="48"/>
        <v>5</v>
      </c>
      <c r="AA95">
        <f t="shared" si="49"/>
        <v>2</v>
      </c>
      <c r="AB95">
        <f t="shared" si="50"/>
        <v>10</v>
      </c>
      <c r="AC95">
        <f t="shared" si="51"/>
        <v>12</v>
      </c>
      <c r="AD95">
        <v>1</v>
      </c>
      <c r="AE95">
        <v>2</v>
      </c>
      <c r="AF95" t="s">
        <v>239</v>
      </c>
      <c r="AG95">
        <v>6</v>
      </c>
      <c r="AH95">
        <f t="shared" si="52"/>
        <v>6</v>
      </c>
      <c r="AI95">
        <f t="shared" si="53"/>
        <v>1</v>
      </c>
      <c r="AJ95">
        <v>1</v>
      </c>
      <c r="AK95">
        <v>2</v>
      </c>
      <c r="AL95">
        <f t="shared" si="54"/>
        <v>2</v>
      </c>
      <c r="AM95">
        <f t="shared" si="55"/>
        <v>1</v>
      </c>
      <c r="AN95">
        <v>1</v>
      </c>
      <c r="AO95" t="s">
        <v>171</v>
      </c>
      <c r="AP95">
        <f t="shared" si="56"/>
        <v>8</v>
      </c>
      <c r="AQ95">
        <f t="shared" si="57"/>
        <v>2</v>
      </c>
      <c r="AR95" t="str">
        <f t="shared" si="58"/>
        <v>Victoria</v>
      </c>
      <c r="AS95" s="3" t="str">
        <f t="shared" si="59"/>
        <v>Victoria dominante</v>
      </c>
    </row>
    <row r="96" spans="1:45" x14ac:dyDescent="0.3">
      <c r="A96" t="s">
        <v>240</v>
      </c>
      <c r="B96">
        <f t="shared" si="40"/>
        <v>2023</v>
      </c>
      <c r="C96" t="str">
        <f t="shared" si="41"/>
        <v>Jan</v>
      </c>
      <c r="D96" t="str" cm="1">
        <f t="array" ref="D96">_xlfn.IFS(OR(C96="Dec", C96="Jan", C96="Feb"), "Invierno", OR(C96="Mar", C96="Apr", C96="May"), "Primavera", OR(C96="Jun", C96="Jul", C96="Aug"), "Verano", OR(C96="Sep", C96="Oct", C96="Nov"), "Otoño")</f>
        <v>Invierno</v>
      </c>
      <c r="E96" t="s">
        <v>22</v>
      </c>
      <c r="F96" t="s">
        <v>23</v>
      </c>
      <c r="G96" t="s">
        <v>351</v>
      </c>
      <c r="H96" t="s">
        <v>25</v>
      </c>
      <c r="I96" t="s">
        <v>110</v>
      </c>
      <c r="J96">
        <v>15</v>
      </c>
      <c r="K96">
        <v>14</v>
      </c>
      <c r="L96">
        <f t="shared" si="42"/>
        <v>14</v>
      </c>
      <c r="M96">
        <f t="shared" si="43"/>
        <v>15</v>
      </c>
      <c r="N96">
        <v>1</v>
      </c>
      <c r="O96">
        <v>5</v>
      </c>
      <c r="P96">
        <f t="shared" si="44"/>
        <v>5</v>
      </c>
      <c r="Q96">
        <f t="shared" si="45"/>
        <v>1</v>
      </c>
      <c r="R96">
        <v>47</v>
      </c>
      <c r="S96">
        <v>53</v>
      </c>
      <c r="T96" s="10">
        <f t="shared" si="46"/>
        <v>53</v>
      </c>
      <c r="U96">
        <f t="shared" si="47"/>
        <v>47</v>
      </c>
      <c r="V96">
        <v>6</v>
      </c>
      <c r="W96">
        <v>4</v>
      </c>
      <c r="X96">
        <v>9</v>
      </c>
      <c r="Y96">
        <v>6</v>
      </c>
      <c r="Z96">
        <f t="shared" si="48"/>
        <v>4</v>
      </c>
      <c r="AA96">
        <f t="shared" si="49"/>
        <v>6</v>
      </c>
      <c r="AB96">
        <f t="shared" si="50"/>
        <v>6</v>
      </c>
      <c r="AC96">
        <f t="shared" si="51"/>
        <v>9</v>
      </c>
      <c r="AD96">
        <v>2</v>
      </c>
      <c r="AE96">
        <v>0</v>
      </c>
      <c r="AF96" t="s">
        <v>103</v>
      </c>
      <c r="AG96">
        <v>2</v>
      </c>
      <c r="AH96">
        <f t="shared" si="52"/>
        <v>1</v>
      </c>
      <c r="AI96">
        <f t="shared" si="53"/>
        <v>2</v>
      </c>
      <c r="AJ96">
        <v>1</v>
      </c>
      <c r="AK96">
        <v>1</v>
      </c>
      <c r="AL96">
        <f t="shared" si="54"/>
        <v>2</v>
      </c>
      <c r="AM96">
        <f t="shared" si="55"/>
        <v>1</v>
      </c>
      <c r="AN96">
        <v>2</v>
      </c>
      <c r="AO96" t="s">
        <v>137</v>
      </c>
      <c r="AP96">
        <f t="shared" si="56"/>
        <v>3</v>
      </c>
      <c r="AQ96">
        <f t="shared" si="57"/>
        <v>3</v>
      </c>
      <c r="AR96" t="str">
        <f t="shared" si="58"/>
        <v>Empate</v>
      </c>
      <c r="AS96" s="3" t="str">
        <f t="shared" si="59"/>
        <v>Empate</v>
      </c>
    </row>
    <row r="97" spans="1:45" x14ac:dyDescent="0.3">
      <c r="A97" t="s">
        <v>241</v>
      </c>
      <c r="B97">
        <f t="shared" si="40"/>
        <v>2023</v>
      </c>
      <c r="C97" t="str">
        <f t="shared" si="41"/>
        <v>Jan</v>
      </c>
      <c r="D97" t="str" cm="1">
        <f t="array" ref="D97">_xlfn.IFS(OR(C97="Dec", C97="Jan", C97="Feb"), "Invierno", OR(C97="Mar", C97="Apr", C97="May"), "Primavera", OR(C97="Jun", C97="Jul", C97="Aug"), "Verano", OR(C97="Sep", C97="Oct", C97="Nov"), "Otoño")</f>
        <v>Invierno</v>
      </c>
      <c r="E97" t="s">
        <v>22</v>
      </c>
      <c r="F97" t="s">
        <v>38</v>
      </c>
      <c r="G97" t="s">
        <v>48</v>
      </c>
      <c r="H97" t="s">
        <v>25</v>
      </c>
      <c r="I97" t="s">
        <v>150</v>
      </c>
      <c r="J97">
        <v>21</v>
      </c>
      <c r="K97">
        <v>15</v>
      </c>
      <c r="L97">
        <f t="shared" si="42"/>
        <v>21</v>
      </c>
      <c r="M97">
        <f t="shared" si="43"/>
        <v>15</v>
      </c>
      <c r="N97">
        <v>5</v>
      </c>
      <c r="O97">
        <v>3</v>
      </c>
      <c r="P97">
        <f t="shared" si="44"/>
        <v>5</v>
      </c>
      <c r="Q97">
        <f t="shared" si="45"/>
        <v>3</v>
      </c>
      <c r="R97">
        <v>62</v>
      </c>
      <c r="S97">
        <v>38</v>
      </c>
      <c r="T97" s="10">
        <f t="shared" si="46"/>
        <v>62</v>
      </c>
      <c r="U97">
        <f t="shared" si="47"/>
        <v>38</v>
      </c>
      <c r="V97">
        <v>7</v>
      </c>
      <c r="W97">
        <v>4</v>
      </c>
      <c r="X97">
        <v>17</v>
      </c>
      <c r="Y97">
        <v>11</v>
      </c>
      <c r="Z97">
        <f t="shared" si="48"/>
        <v>7</v>
      </c>
      <c r="AA97">
        <f t="shared" si="49"/>
        <v>4</v>
      </c>
      <c r="AB97">
        <f t="shared" si="50"/>
        <v>17</v>
      </c>
      <c r="AC97">
        <f t="shared" si="51"/>
        <v>11</v>
      </c>
      <c r="AD97">
        <v>1</v>
      </c>
      <c r="AE97">
        <v>1</v>
      </c>
      <c r="AF97" t="s">
        <v>60</v>
      </c>
      <c r="AG97">
        <v>1</v>
      </c>
      <c r="AH97">
        <f t="shared" si="52"/>
        <v>1</v>
      </c>
      <c r="AI97">
        <f t="shared" si="53"/>
        <v>0</v>
      </c>
      <c r="AJ97">
        <v>0</v>
      </c>
      <c r="AK97">
        <v>1</v>
      </c>
      <c r="AL97">
        <f t="shared" si="54"/>
        <v>1</v>
      </c>
      <c r="AM97">
        <f t="shared" si="55"/>
        <v>0</v>
      </c>
      <c r="AN97">
        <v>0</v>
      </c>
      <c r="AO97" t="s">
        <v>147</v>
      </c>
      <c r="AP97">
        <f t="shared" si="56"/>
        <v>2</v>
      </c>
      <c r="AQ97">
        <f t="shared" si="57"/>
        <v>0</v>
      </c>
      <c r="AR97" t="str">
        <f t="shared" si="58"/>
        <v>Victoria</v>
      </c>
      <c r="AS97" s="3" t="str">
        <f t="shared" si="59"/>
        <v>Victoria dominante</v>
      </c>
    </row>
    <row r="98" spans="1:45" x14ac:dyDescent="0.3">
      <c r="A98" t="s">
        <v>242</v>
      </c>
      <c r="B98">
        <f t="shared" ref="B98:B129" si="60">VALUE(RIGHT(A98,4))</f>
        <v>2023</v>
      </c>
      <c r="C98" t="str">
        <f t="shared" ref="C98:C129" si="61">MID(A98,5,3)</f>
        <v>Feb</v>
      </c>
      <c r="D98" t="str" cm="1">
        <f t="array" ref="D98">_xlfn.IFS(OR(C98="Dec", C98="Jan", C98="Feb"), "Invierno", OR(C98="Mar", C98="Apr", C98="May"), "Primavera", OR(C98="Jun", C98="Jul", C98="Aug"), "Verano", OR(C98="Sep", C98="Oct", C98="Nov"), "Otoño")</f>
        <v>Invierno</v>
      </c>
      <c r="E98" t="s">
        <v>22</v>
      </c>
      <c r="F98" t="s">
        <v>23</v>
      </c>
      <c r="G98" t="s">
        <v>91</v>
      </c>
      <c r="H98" t="s">
        <v>25</v>
      </c>
      <c r="I98" t="s">
        <v>121</v>
      </c>
      <c r="J98">
        <v>18</v>
      </c>
      <c r="K98">
        <v>7</v>
      </c>
      <c r="L98">
        <f t="shared" ref="L98:L129" si="62">IF(F98 = "H", J98, IF(F98 = "A", K98))</f>
        <v>7</v>
      </c>
      <c r="M98">
        <f t="shared" ref="M98:M129" si="63">IF(F98 = "A", J98, IF(F98 = "H", K98))</f>
        <v>18</v>
      </c>
      <c r="N98">
        <v>2</v>
      </c>
      <c r="O98">
        <v>7</v>
      </c>
      <c r="P98">
        <f t="shared" ref="P98:P129" si="64">IF(F98 = "H", N98, IF(F98 = "A", O98,0))</f>
        <v>7</v>
      </c>
      <c r="Q98">
        <f t="shared" ref="Q98:Q129" si="65">IF(F98 = "A", N98, IF(F98 = "H", O98))</f>
        <v>2</v>
      </c>
      <c r="R98">
        <v>53</v>
      </c>
      <c r="S98">
        <v>47</v>
      </c>
      <c r="T98" s="10">
        <f t="shared" ref="T98:T129" si="66">IF(F98 = "H", R98, IF(F98 ="A", S98,0))</f>
        <v>47</v>
      </c>
      <c r="U98">
        <f t="shared" ref="U98:U129" si="67">IF(F98 = "A", R98, IF(F98 = "H", S98))</f>
        <v>53</v>
      </c>
      <c r="V98">
        <v>2</v>
      </c>
      <c r="W98">
        <v>7</v>
      </c>
      <c r="X98">
        <v>12</v>
      </c>
      <c r="Y98">
        <v>13</v>
      </c>
      <c r="Z98">
        <f t="shared" ref="Z98:Z129" si="68">IF(F98 = "H", V98, IF(F98 = "A", W98))</f>
        <v>7</v>
      </c>
      <c r="AA98">
        <f t="shared" ref="AA98:AA129" si="69">IF(F98 = "A", V98, IF(F98 = "H", W98))</f>
        <v>2</v>
      </c>
      <c r="AB98">
        <f t="shared" ref="AB98:AB129" si="70">IF(F98 = "H", X98, IF(F98= "A", Y98, 0))</f>
        <v>13</v>
      </c>
      <c r="AC98">
        <f t="shared" ref="AC98:AC129" si="71">IF(F98 = "A", X98, IF(F98 = "H", Y98, 0))</f>
        <v>12</v>
      </c>
      <c r="AD98">
        <v>0</v>
      </c>
      <c r="AE98">
        <v>2</v>
      </c>
      <c r="AF98" t="s">
        <v>227</v>
      </c>
      <c r="AG98">
        <v>0</v>
      </c>
      <c r="AH98">
        <f t="shared" ref="AH98:AH129" si="72">IF(F98 = "H", AG98, IF(F98 ="A", AJ98,0))</f>
        <v>0</v>
      </c>
      <c r="AI98">
        <f t="shared" ref="AI98:AI129" si="73">IF(F98 = "A", AG98, IF(F98 ="H", AJ98,0))</f>
        <v>0</v>
      </c>
      <c r="AJ98">
        <v>0</v>
      </c>
      <c r="AK98">
        <v>1</v>
      </c>
      <c r="AL98">
        <f t="shared" ref="AL98:AL129" si="74">IF(F98 ="H", AK98, IF(F98 ="A", AN98,0))</f>
        <v>0</v>
      </c>
      <c r="AM98">
        <f t="shared" ref="AM98:AM129" si="75">IF(F98="A", AK98,IF(F98 ="H", AN98,0))</f>
        <v>1</v>
      </c>
      <c r="AN98">
        <v>0</v>
      </c>
      <c r="AO98" t="s">
        <v>171</v>
      </c>
      <c r="AP98">
        <f t="shared" ref="AP98:AP129" si="76">IF(F98="H", AG98+AK98, IF(F98="A", AJ98+AN98, 0))</f>
        <v>0</v>
      </c>
      <c r="AQ98">
        <f t="shared" ref="AQ98:AQ129" si="77">IF(F98="A", AG98+AK98, IF(F98="H", AJ98+AN98, 0))</f>
        <v>1</v>
      </c>
      <c r="AR98" t="str">
        <f t="shared" ref="AR98:AR129" si="78">IF(AP98&gt;AQ98,"Victoria",IF(AQ98&gt;AP98,"Derrota",IF(AQ98=AP98,"Empate")))</f>
        <v>Derrota</v>
      </c>
      <c r="AS98" s="3" t="str">
        <f t="shared" ref="AS98:AS129" si="79">IF(AP98&gt;AQ98,IF(AP98-AQ98&gt;1,"Victoria dominante","Victoria ajustada"),IF(AP98=AQ98,"Empate",IF(AP98-AQ98&lt;0,"Derrota ajustada","Derrota aplastante")))</f>
        <v>Derrota ajustada</v>
      </c>
    </row>
    <row r="99" spans="1:45" x14ac:dyDescent="0.3">
      <c r="A99" t="s">
        <v>243</v>
      </c>
      <c r="B99">
        <f t="shared" si="60"/>
        <v>2023</v>
      </c>
      <c r="C99" t="str">
        <f t="shared" si="61"/>
        <v>Feb</v>
      </c>
      <c r="D99" t="str" cm="1">
        <f t="array" ref="D99">_xlfn.IFS(OR(C99="Dec", C99="Jan", C99="Feb"), "Invierno", OR(C99="Mar", C99="Apr", C99="May"), "Primavera", OR(C99="Jun", C99="Jul", C99="Aug"), "Verano", OR(C99="Sep", C99="Oct", C99="Nov"), "Otoño")</f>
        <v>Invierno</v>
      </c>
      <c r="E99" t="s">
        <v>22</v>
      </c>
      <c r="F99" t="s">
        <v>23</v>
      </c>
      <c r="G99" t="s">
        <v>24</v>
      </c>
      <c r="H99" t="s">
        <v>25</v>
      </c>
      <c r="I99" t="s">
        <v>69</v>
      </c>
      <c r="J99">
        <v>13</v>
      </c>
      <c r="K99">
        <v>23</v>
      </c>
      <c r="L99">
        <f t="shared" si="62"/>
        <v>23</v>
      </c>
      <c r="M99">
        <f t="shared" si="63"/>
        <v>13</v>
      </c>
      <c r="N99">
        <v>8</v>
      </c>
      <c r="O99">
        <v>5</v>
      </c>
      <c r="P99">
        <f t="shared" si="64"/>
        <v>5</v>
      </c>
      <c r="Q99">
        <f t="shared" si="65"/>
        <v>8</v>
      </c>
      <c r="R99">
        <v>60</v>
      </c>
      <c r="S99">
        <v>40</v>
      </c>
      <c r="T99" s="10">
        <f t="shared" si="66"/>
        <v>40</v>
      </c>
      <c r="U99">
        <f t="shared" si="67"/>
        <v>60</v>
      </c>
      <c r="V99">
        <v>5</v>
      </c>
      <c r="W99">
        <v>7</v>
      </c>
      <c r="X99">
        <v>12</v>
      </c>
      <c r="Y99">
        <v>14</v>
      </c>
      <c r="Z99">
        <f t="shared" si="68"/>
        <v>7</v>
      </c>
      <c r="AA99">
        <f t="shared" si="69"/>
        <v>5</v>
      </c>
      <c r="AB99">
        <f t="shared" si="70"/>
        <v>14</v>
      </c>
      <c r="AC99">
        <f t="shared" si="71"/>
        <v>12</v>
      </c>
      <c r="AD99">
        <v>0</v>
      </c>
      <c r="AE99">
        <v>0</v>
      </c>
      <c r="AF99" t="s">
        <v>134</v>
      </c>
      <c r="AG99">
        <v>0</v>
      </c>
      <c r="AH99">
        <f t="shared" si="72"/>
        <v>1</v>
      </c>
      <c r="AI99">
        <f t="shared" si="73"/>
        <v>0</v>
      </c>
      <c r="AJ99">
        <v>1</v>
      </c>
      <c r="AK99">
        <v>0</v>
      </c>
      <c r="AL99">
        <f t="shared" si="74"/>
        <v>1</v>
      </c>
      <c r="AM99">
        <f t="shared" si="75"/>
        <v>0</v>
      </c>
      <c r="AN99">
        <v>1</v>
      </c>
      <c r="AO99" t="s">
        <v>81</v>
      </c>
      <c r="AP99">
        <f t="shared" si="76"/>
        <v>2</v>
      </c>
      <c r="AQ99">
        <f t="shared" si="77"/>
        <v>0</v>
      </c>
      <c r="AR99" t="str">
        <f t="shared" si="78"/>
        <v>Victoria</v>
      </c>
      <c r="AS99" s="3" t="str">
        <f t="shared" si="79"/>
        <v>Victoria dominante</v>
      </c>
    </row>
    <row r="100" spans="1:45" x14ac:dyDescent="0.3">
      <c r="A100" t="s">
        <v>244</v>
      </c>
      <c r="B100">
        <f t="shared" si="60"/>
        <v>2023</v>
      </c>
      <c r="C100" t="str">
        <f t="shared" si="61"/>
        <v>Feb</v>
      </c>
      <c r="D100" t="str" cm="1">
        <f t="array" ref="D100">_xlfn.IFS(OR(C100="Dec", C100="Jan", C100="Feb"), "Invierno", OR(C100="Mar", C100="Apr", C100="May"), "Primavera", OR(C100="Jun", C100="Jul", C100="Aug"), "Verano", OR(C100="Sep", C100="Oct", C100="Nov"), "Otoño")</f>
        <v>Invierno</v>
      </c>
      <c r="E100" t="s">
        <v>37</v>
      </c>
      <c r="F100" t="s">
        <v>38</v>
      </c>
      <c r="G100" t="s">
        <v>232</v>
      </c>
      <c r="H100" t="s">
        <v>25</v>
      </c>
      <c r="I100" t="s">
        <v>54</v>
      </c>
      <c r="J100">
        <v>20</v>
      </c>
      <c r="K100">
        <v>4</v>
      </c>
      <c r="L100">
        <f t="shared" si="62"/>
        <v>20</v>
      </c>
      <c r="M100">
        <f t="shared" si="63"/>
        <v>4</v>
      </c>
      <c r="N100">
        <v>0</v>
      </c>
      <c r="O100">
        <v>9</v>
      </c>
      <c r="P100">
        <f t="shared" si="64"/>
        <v>0</v>
      </c>
      <c r="Q100">
        <f t="shared" si="65"/>
        <v>9</v>
      </c>
      <c r="R100">
        <v>70</v>
      </c>
      <c r="S100">
        <v>30</v>
      </c>
      <c r="T100" s="10">
        <f t="shared" si="66"/>
        <v>70</v>
      </c>
      <c r="U100">
        <f t="shared" si="67"/>
        <v>30</v>
      </c>
      <c r="V100">
        <v>6</v>
      </c>
      <c r="W100">
        <v>1</v>
      </c>
      <c r="X100">
        <v>10</v>
      </c>
      <c r="Y100">
        <v>12</v>
      </c>
      <c r="Z100">
        <f t="shared" si="68"/>
        <v>6</v>
      </c>
      <c r="AA100">
        <f t="shared" si="69"/>
        <v>1</v>
      </c>
      <c r="AB100">
        <f t="shared" si="70"/>
        <v>10</v>
      </c>
      <c r="AC100">
        <f t="shared" si="71"/>
        <v>12</v>
      </c>
      <c r="AD100">
        <v>2</v>
      </c>
      <c r="AE100">
        <v>2</v>
      </c>
      <c r="AF100" t="s">
        <v>245</v>
      </c>
      <c r="AG100">
        <v>0</v>
      </c>
      <c r="AH100">
        <f t="shared" si="72"/>
        <v>0</v>
      </c>
      <c r="AI100">
        <f t="shared" si="73"/>
        <v>1</v>
      </c>
      <c r="AJ100">
        <v>1</v>
      </c>
      <c r="AK100">
        <v>1</v>
      </c>
      <c r="AL100">
        <f t="shared" si="74"/>
        <v>1</v>
      </c>
      <c r="AM100">
        <f t="shared" si="75"/>
        <v>1</v>
      </c>
      <c r="AN100">
        <v>1</v>
      </c>
      <c r="AO100" t="s">
        <v>171</v>
      </c>
      <c r="AP100">
        <f t="shared" si="76"/>
        <v>1</v>
      </c>
      <c r="AQ100">
        <f t="shared" si="77"/>
        <v>2</v>
      </c>
      <c r="AR100" t="str">
        <f t="shared" si="78"/>
        <v>Derrota</v>
      </c>
      <c r="AS100" s="3" t="str">
        <f t="shared" si="79"/>
        <v>Derrota ajustada</v>
      </c>
    </row>
    <row r="101" spans="1:45" x14ac:dyDescent="0.3">
      <c r="A101" t="s">
        <v>246</v>
      </c>
      <c r="B101">
        <f t="shared" si="60"/>
        <v>2023</v>
      </c>
      <c r="C101" t="str">
        <f t="shared" si="61"/>
        <v>Feb</v>
      </c>
      <c r="D101" t="str" cm="1">
        <f t="array" ref="D101">_xlfn.IFS(OR(C101="Dec", C101="Jan", C101="Feb"), "Invierno", OR(C101="Mar", C101="Apr", C101="May"), "Primavera", OR(C101="Jun", C101="Jul", C101="Aug"), "Verano", OR(C101="Sep", C101="Oct", C101="Nov"), "Otoño")</f>
        <v>Invierno</v>
      </c>
      <c r="E101" t="s">
        <v>22</v>
      </c>
      <c r="F101" t="s">
        <v>23</v>
      </c>
      <c r="G101" t="s">
        <v>105</v>
      </c>
      <c r="H101" t="s">
        <v>25</v>
      </c>
      <c r="I101" t="s">
        <v>150</v>
      </c>
      <c r="J101">
        <v>13</v>
      </c>
      <c r="K101">
        <v>3</v>
      </c>
      <c r="L101">
        <f t="shared" si="62"/>
        <v>3</v>
      </c>
      <c r="M101">
        <f t="shared" si="63"/>
        <v>13</v>
      </c>
      <c r="N101">
        <v>0</v>
      </c>
      <c r="O101">
        <v>2</v>
      </c>
      <c r="P101">
        <f t="shared" si="64"/>
        <v>2</v>
      </c>
      <c r="Q101">
        <f t="shared" si="65"/>
        <v>0</v>
      </c>
      <c r="R101">
        <v>48</v>
      </c>
      <c r="S101">
        <v>52</v>
      </c>
      <c r="T101" s="10">
        <f t="shared" si="66"/>
        <v>52</v>
      </c>
      <c r="U101">
        <f t="shared" si="67"/>
        <v>48</v>
      </c>
      <c r="V101">
        <v>4</v>
      </c>
      <c r="W101">
        <v>3</v>
      </c>
      <c r="X101">
        <v>11</v>
      </c>
      <c r="Y101">
        <v>11</v>
      </c>
      <c r="Z101">
        <f t="shared" si="68"/>
        <v>3</v>
      </c>
      <c r="AA101">
        <f t="shared" si="69"/>
        <v>4</v>
      </c>
      <c r="AB101">
        <f t="shared" si="70"/>
        <v>11</v>
      </c>
      <c r="AC101">
        <f t="shared" si="71"/>
        <v>11</v>
      </c>
      <c r="AD101">
        <v>1</v>
      </c>
      <c r="AE101">
        <v>1</v>
      </c>
      <c r="AF101" t="s">
        <v>77</v>
      </c>
      <c r="AG101">
        <v>1</v>
      </c>
      <c r="AH101">
        <f t="shared" si="72"/>
        <v>0</v>
      </c>
      <c r="AI101">
        <f t="shared" si="73"/>
        <v>1</v>
      </c>
      <c r="AJ101">
        <v>0</v>
      </c>
      <c r="AK101">
        <v>1</v>
      </c>
      <c r="AL101">
        <f t="shared" si="74"/>
        <v>0</v>
      </c>
      <c r="AM101">
        <f t="shared" si="75"/>
        <v>1</v>
      </c>
      <c r="AN101">
        <v>0</v>
      </c>
      <c r="AO101" t="s">
        <v>81</v>
      </c>
      <c r="AP101">
        <f t="shared" si="76"/>
        <v>0</v>
      </c>
      <c r="AQ101">
        <f t="shared" si="77"/>
        <v>2</v>
      </c>
      <c r="AR101" t="str">
        <f t="shared" si="78"/>
        <v>Derrota</v>
      </c>
      <c r="AS101" s="3" t="str">
        <f t="shared" si="79"/>
        <v>Derrota ajustada</v>
      </c>
    </row>
    <row r="102" spans="1:45" x14ac:dyDescent="0.3">
      <c r="A102" t="s">
        <v>247</v>
      </c>
      <c r="B102">
        <f t="shared" si="60"/>
        <v>2023</v>
      </c>
      <c r="C102" t="str">
        <f t="shared" si="61"/>
        <v>Mar</v>
      </c>
      <c r="D102" t="str" cm="1">
        <f t="array" ref="D102">_xlfn.IFS(OR(C102="Dec", C102="Jan", C102="Feb"), "Invierno", OR(C102="Mar", C102="Apr", C102="May"), "Primavera", OR(C102="Jun", C102="Jul", C102="Aug"), "Verano", OR(C102="Sep", C102="Oct", C102="Nov"), "Otoño")</f>
        <v>Primavera</v>
      </c>
      <c r="E102" t="s">
        <v>62</v>
      </c>
      <c r="F102" t="s">
        <v>38</v>
      </c>
      <c r="G102" t="s">
        <v>73</v>
      </c>
      <c r="H102" t="s">
        <v>25</v>
      </c>
      <c r="I102" t="s">
        <v>64</v>
      </c>
      <c r="J102">
        <v>17</v>
      </c>
      <c r="K102">
        <v>5</v>
      </c>
      <c r="L102">
        <f t="shared" si="62"/>
        <v>17</v>
      </c>
      <c r="M102">
        <f t="shared" si="63"/>
        <v>5</v>
      </c>
      <c r="N102">
        <v>1</v>
      </c>
      <c r="O102">
        <v>5</v>
      </c>
      <c r="P102">
        <f t="shared" si="64"/>
        <v>1</v>
      </c>
      <c r="Q102">
        <f t="shared" si="65"/>
        <v>5</v>
      </c>
      <c r="R102">
        <v>67</v>
      </c>
      <c r="S102">
        <v>33</v>
      </c>
      <c r="T102" s="10">
        <f t="shared" si="66"/>
        <v>67</v>
      </c>
      <c r="U102">
        <f t="shared" si="67"/>
        <v>33</v>
      </c>
      <c r="V102">
        <v>12</v>
      </c>
      <c r="W102">
        <v>3</v>
      </c>
      <c r="X102">
        <v>12</v>
      </c>
      <c r="Y102">
        <v>12</v>
      </c>
      <c r="Z102">
        <f t="shared" si="68"/>
        <v>12</v>
      </c>
      <c r="AA102">
        <f t="shared" si="69"/>
        <v>3</v>
      </c>
      <c r="AB102">
        <f t="shared" si="70"/>
        <v>12</v>
      </c>
      <c r="AC102">
        <f t="shared" si="71"/>
        <v>12</v>
      </c>
      <c r="AD102">
        <v>3</v>
      </c>
      <c r="AE102">
        <v>2</v>
      </c>
      <c r="AF102" t="s">
        <v>248</v>
      </c>
      <c r="AG102">
        <v>0</v>
      </c>
      <c r="AH102">
        <f t="shared" si="72"/>
        <v>0</v>
      </c>
      <c r="AI102">
        <f t="shared" si="73"/>
        <v>0</v>
      </c>
      <c r="AJ102">
        <v>0</v>
      </c>
      <c r="AK102">
        <v>0</v>
      </c>
      <c r="AL102">
        <f t="shared" si="74"/>
        <v>0</v>
      </c>
      <c r="AM102">
        <f t="shared" si="75"/>
        <v>0</v>
      </c>
      <c r="AN102">
        <v>0</v>
      </c>
      <c r="AO102" t="s">
        <v>51</v>
      </c>
      <c r="AP102">
        <f t="shared" si="76"/>
        <v>0</v>
      </c>
      <c r="AQ102">
        <f t="shared" si="77"/>
        <v>0</v>
      </c>
      <c r="AR102" t="str">
        <f t="shared" si="78"/>
        <v>Empate</v>
      </c>
      <c r="AS102" s="3" t="str">
        <f t="shared" si="79"/>
        <v>Empate</v>
      </c>
    </row>
    <row r="103" spans="1:45" x14ac:dyDescent="0.3">
      <c r="A103" t="s">
        <v>249</v>
      </c>
      <c r="B103">
        <f t="shared" si="60"/>
        <v>2023</v>
      </c>
      <c r="C103" t="str">
        <f t="shared" si="61"/>
        <v>Mar</v>
      </c>
      <c r="D103" t="str" cm="1">
        <f t="array" ref="D103">_xlfn.IFS(OR(C103="Dec", C103="Jan", C103="Feb"), "Invierno", OR(C103="Mar", C103="Apr", C103="May"), "Primavera", OR(C103="Jun", C103="Jul", C103="Aug"), "Verano", OR(C103="Sep", C103="Oct", C103="Nov"), "Otoño")</f>
        <v>Primavera</v>
      </c>
      <c r="E103" t="s">
        <v>62</v>
      </c>
      <c r="F103" t="s">
        <v>23</v>
      </c>
      <c r="G103" t="s">
        <v>44</v>
      </c>
      <c r="H103" t="s">
        <v>32</v>
      </c>
      <c r="I103" t="s">
        <v>150</v>
      </c>
      <c r="J103">
        <v>0</v>
      </c>
      <c r="K103">
        <v>0</v>
      </c>
      <c r="L103">
        <f t="shared" si="62"/>
        <v>0</v>
      </c>
      <c r="M103">
        <f t="shared" si="63"/>
        <v>0</v>
      </c>
      <c r="N103">
        <v>0</v>
      </c>
      <c r="O103">
        <v>0</v>
      </c>
      <c r="P103">
        <f t="shared" si="64"/>
        <v>0</v>
      </c>
      <c r="Q103">
        <f t="shared" si="65"/>
        <v>0</v>
      </c>
      <c r="R103">
        <v>0</v>
      </c>
      <c r="S103">
        <v>0</v>
      </c>
      <c r="T103" s="10">
        <f t="shared" si="66"/>
        <v>0</v>
      </c>
      <c r="U103">
        <f t="shared" si="67"/>
        <v>0</v>
      </c>
      <c r="V103">
        <v>0</v>
      </c>
      <c r="W103">
        <v>0</v>
      </c>
      <c r="X103">
        <v>0</v>
      </c>
      <c r="Y103">
        <v>0</v>
      </c>
      <c r="Z103">
        <f t="shared" si="68"/>
        <v>0</v>
      </c>
      <c r="AA103">
        <f t="shared" si="69"/>
        <v>0</v>
      </c>
      <c r="AB103">
        <f t="shared" si="70"/>
        <v>0</v>
      </c>
      <c r="AC103">
        <f t="shared" si="71"/>
        <v>0</v>
      </c>
      <c r="AD103">
        <v>0</v>
      </c>
      <c r="AE103">
        <v>0</v>
      </c>
      <c r="AF103" t="s">
        <v>334</v>
      </c>
      <c r="AG103">
        <v>2</v>
      </c>
      <c r="AH103">
        <f t="shared" si="72"/>
        <v>0</v>
      </c>
      <c r="AI103">
        <f t="shared" si="73"/>
        <v>2</v>
      </c>
      <c r="AJ103">
        <v>0</v>
      </c>
      <c r="AK103">
        <v>0</v>
      </c>
      <c r="AL103">
        <f t="shared" si="74"/>
        <v>0</v>
      </c>
      <c r="AM103">
        <f t="shared" si="75"/>
        <v>0</v>
      </c>
      <c r="AN103">
        <v>0</v>
      </c>
      <c r="AO103" t="s">
        <v>107</v>
      </c>
      <c r="AP103">
        <f t="shared" si="76"/>
        <v>0</v>
      </c>
      <c r="AQ103">
        <f t="shared" si="77"/>
        <v>2</v>
      </c>
      <c r="AR103" t="str">
        <f t="shared" si="78"/>
        <v>Derrota</v>
      </c>
      <c r="AS103" s="3" t="str">
        <f t="shared" si="79"/>
        <v>Derrota ajustada</v>
      </c>
    </row>
    <row r="104" spans="1:45" x14ac:dyDescent="0.3">
      <c r="A104" t="s">
        <v>250</v>
      </c>
      <c r="B104">
        <f t="shared" si="60"/>
        <v>2023</v>
      </c>
      <c r="C104" t="str">
        <f t="shared" si="61"/>
        <v>Mar</v>
      </c>
      <c r="D104" t="str" cm="1">
        <f t="array" ref="D104">_xlfn.IFS(OR(C104="Dec", C104="Jan", C104="Feb"), "Invierno", OR(C104="Mar", C104="Apr", C104="May"), "Primavera", OR(C104="Jun", C104="Jul", C104="Aug"), "Verano", OR(C104="Sep", C104="Oct", C104="Nov"), "Otoño")</f>
        <v>Primavera</v>
      </c>
      <c r="E104" t="s">
        <v>22</v>
      </c>
      <c r="F104" t="s">
        <v>38</v>
      </c>
      <c r="G104" t="s">
        <v>166</v>
      </c>
      <c r="H104" t="s">
        <v>32</v>
      </c>
      <c r="I104" t="s">
        <v>161</v>
      </c>
      <c r="J104">
        <v>27</v>
      </c>
      <c r="K104">
        <v>5</v>
      </c>
      <c r="L104">
        <f t="shared" si="62"/>
        <v>27</v>
      </c>
      <c r="M104">
        <f t="shared" si="63"/>
        <v>5</v>
      </c>
      <c r="N104">
        <v>1</v>
      </c>
      <c r="O104">
        <v>3</v>
      </c>
      <c r="P104">
        <f t="shared" si="64"/>
        <v>1</v>
      </c>
      <c r="Q104">
        <f t="shared" si="65"/>
        <v>3</v>
      </c>
      <c r="R104">
        <v>69</v>
      </c>
      <c r="S104">
        <v>31</v>
      </c>
      <c r="T104" s="10">
        <f t="shared" si="66"/>
        <v>69</v>
      </c>
      <c r="U104">
        <f t="shared" si="67"/>
        <v>31</v>
      </c>
      <c r="V104">
        <v>13</v>
      </c>
      <c r="W104">
        <v>2</v>
      </c>
      <c r="X104">
        <v>11</v>
      </c>
      <c r="Y104">
        <v>10</v>
      </c>
      <c r="Z104">
        <f t="shared" si="68"/>
        <v>13</v>
      </c>
      <c r="AA104">
        <f t="shared" si="69"/>
        <v>2</v>
      </c>
      <c r="AB104">
        <f t="shared" si="70"/>
        <v>11</v>
      </c>
      <c r="AC104">
        <f t="shared" si="71"/>
        <v>10</v>
      </c>
      <c r="AD104">
        <v>2</v>
      </c>
      <c r="AE104">
        <v>1</v>
      </c>
      <c r="AF104" t="s">
        <v>214</v>
      </c>
      <c r="AG104">
        <v>0</v>
      </c>
      <c r="AH104">
        <f t="shared" si="72"/>
        <v>0</v>
      </c>
      <c r="AI104">
        <f t="shared" si="73"/>
        <v>0</v>
      </c>
      <c r="AJ104">
        <v>0</v>
      </c>
      <c r="AK104">
        <v>2</v>
      </c>
      <c r="AL104">
        <f t="shared" si="74"/>
        <v>2</v>
      </c>
      <c r="AM104">
        <f t="shared" si="75"/>
        <v>1</v>
      </c>
      <c r="AN104">
        <v>1</v>
      </c>
      <c r="AO104" t="s">
        <v>42</v>
      </c>
      <c r="AP104">
        <f t="shared" si="76"/>
        <v>2</v>
      </c>
      <c r="AQ104">
        <f t="shared" si="77"/>
        <v>1</v>
      </c>
      <c r="AR104" t="str">
        <f t="shared" si="78"/>
        <v>Victoria</v>
      </c>
      <c r="AS104" s="3" t="str">
        <f t="shared" si="79"/>
        <v>Victoria ajustada</v>
      </c>
    </row>
    <row r="105" spans="1:45" x14ac:dyDescent="0.3">
      <c r="A105" t="s">
        <v>251</v>
      </c>
      <c r="B105">
        <f t="shared" si="60"/>
        <v>2023</v>
      </c>
      <c r="C105" t="str">
        <f t="shared" si="61"/>
        <v>Apr</v>
      </c>
      <c r="D105" t="str" cm="1">
        <f t="array" ref="D105">_xlfn.IFS(OR(C105="Dec", C105="Jan", C105="Feb"), "Invierno", OR(C105="Mar", C105="Apr", C105="May"), "Primavera", OR(C105="Jun", C105="Jul", C105="Aug"), "Verano", OR(C105="Sep", C105="Oct", C105="Nov"), "Otoño")</f>
        <v>Primavera</v>
      </c>
      <c r="E105" t="s">
        <v>30</v>
      </c>
      <c r="F105" t="s">
        <v>23</v>
      </c>
      <c r="G105" t="s">
        <v>221</v>
      </c>
      <c r="H105" t="s">
        <v>32</v>
      </c>
      <c r="I105" t="s">
        <v>49</v>
      </c>
      <c r="J105">
        <v>15</v>
      </c>
      <c r="K105">
        <v>12</v>
      </c>
      <c r="L105">
        <f t="shared" si="62"/>
        <v>12</v>
      </c>
      <c r="M105">
        <f t="shared" si="63"/>
        <v>15</v>
      </c>
      <c r="N105">
        <v>1</v>
      </c>
      <c r="O105">
        <v>3</v>
      </c>
      <c r="P105">
        <f t="shared" si="64"/>
        <v>3</v>
      </c>
      <c r="Q105">
        <f t="shared" si="65"/>
        <v>1</v>
      </c>
      <c r="R105">
        <v>42</v>
      </c>
      <c r="S105">
        <v>58</v>
      </c>
      <c r="T105" s="10">
        <f t="shared" si="66"/>
        <v>58</v>
      </c>
      <c r="U105">
        <f t="shared" si="67"/>
        <v>42</v>
      </c>
      <c r="V105">
        <v>0</v>
      </c>
      <c r="W105">
        <v>6</v>
      </c>
      <c r="X105">
        <v>13</v>
      </c>
      <c r="Y105">
        <v>10</v>
      </c>
      <c r="Z105">
        <f t="shared" si="68"/>
        <v>6</v>
      </c>
      <c r="AA105">
        <f t="shared" si="69"/>
        <v>0</v>
      </c>
      <c r="AB105">
        <f t="shared" si="70"/>
        <v>10</v>
      </c>
      <c r="AC105">
        <f t="shared" si="71"/>
        <v>13</v>
      </c>
      <c r="AD105">
        <v>0</v>
      </c>
      <c r="AE105">
        <v>3</v>
      </c>
      <c r="AF105" t="s">
        <v>103</v>
      </c>
      <c r="AG105">
        <v>0</v>
      </c>
      <c r="AH105">
        <f t="shared" si="72"/>
        <v>0</v>
      </c>
      <c r="AI105">
        <f t="shared" si="73"/>
        <v>0</v>
      </c>
      <c r="AJ105">
        <v>0</v>
      </c>
      <c r="AK105">
        <v>1</v>
      </c>
      <c r="AL105">
        <f t="shared" si="74"/>
        <v>3</v>
      </c>
      <c r="AM105">
        <f t="shared" si="75"/>
        <v>1</v>
      </c>
      <c r="AN105">
        <v>3</v>
      </c>
      <c r="AO105" t="s">
        <v>56</v>
      </c>
      <c r="AP105">
        <f t="shared" si="76"/>
        <v>3</v>
      </c>
      <c r="AQ105">
        <f t="shared" si="77"/>
        <v>1</v>
      </c>
      <c r="AR105" t="str">
        <f t="shared" si="78"/>
        <v>Victoria</v>
      </c>
      <c r="AS105" s="3" t="str">
        <f t="shared" si="79"/>
        <v>Victoria dominante</v>
      </c>
    </row>
    <row r="106" spans="1:45" x14ac:dyDescent="0.3">
      <c r="A106" t="s">
        <v>252</v>
      </c>
      <c r="B106">
        <f t="shared" si="60"/>
        <v>2023</v>
      </c>
      <c r="C106" t="str">
        <f t="shared" si="61"/>
        <v>Apr</v>
      </c>
      <c r="D106" t="str" cm="1">
        <f t="array" ref="D106">_xlfn.IFS(OR(C106="Dec", C106="Jan", C106="Feb"), "Invierno", OR(C106="Mar", C106="Apr", C106="May"), "Primavera", OR(C106="Jun", C106="Jul", C106="Aug"), "Verano", OR(C106="Sep", C106="Oct", C106="Nov"), "Otoño")</f>
        <v>Primavera</v>
      </c>
      <c r="E106" t="s">
        <v>191</v>
      </c>
      <c r="F106" t="s">
        <v>38</v>
      </c>
      <c r="G106" t="s">
        <v>87</v>
      </c>
      <c r="H106" t="s">
        <v>32</v>
      </c>
      <c r="I106" t="s">
        <v>69</v>
      </c>
      <c r="J106">
        <v>15</v>
      </c>
      <c r="K106">
        <v>13</v>
      </c>
      <c r="L106">
        <f t="shared" si="62"/>
        <v>15</v>
      </c>
      <c r="M106">
        <f t="shared" si="63"/>
        <v>13</v>
      </c>
      <c r="N106">
        <v>4</v>
      </c>
      <c r="O106">
        <v>6</v>
      </c>
      <c r="P106">
        <f t="shared" si="64"/>
        <v>4</v>
      </c>
      <c r="Q106">
        <f t="shared" si="65"/>
        <v>6</v>
      </c>
      <c r="R106">
        <v>49</v>
      </c>
      <c r="S106">
        <v>51</v>
      </c>
      <c r="T106" s="10">
        <f t="shared" si="66"/>
        <v>49</v>
      </c>
      <c r="U106">
        <f t="shared" si="67"/>
        <v>51</v>
      </c>
      <c r="V106">
        <v>6</v>
      </c>
      <c r="W106">
        <v>0</v>
      </c>
      <c r="X106">
        <v>6</v>
      </c>
      <c r="Y106">
        <v>5</v>
      </c>
      <c r="Z106">
        <f t="shared" si="68"/>
        <v>6</v>
      </c>
      <c r="AA106">
        <f t="shared" si="69"/>
        <v>0</v>
      </c>
      <c r="AB106">
        <f t="shared" si="70"/>
        <v>6</v>
      </c>
      <c r="AC106">
        <f t="shared" si="71"/>
        <v>5</v>
      </c>
      <c r="AD106">
        <v>1</v>
      </c>
      <c r="AE106">
        <v>6</v>
      </c>
      <c r="AF106" t="s">
        <v>134</v>
      </c>
      <c r="AG106">
        <v>0</v>
      </c>
      <c r="AH106">
        <f t="shared" si="72"/>
        <v>0</v>
      </c>
      <c r="AI106">
        <f t="shared" si="73"/>
        <v>0</v>
      </c>
      <c r="AJ106">
        <v>0</v>
      </c>
      <c r="AK106">
        <v>0</v>
      </c>
      <c r="AL106">
        <f t="shared" si="74"/>
        <v>0</v>
      </c>
      <c r="AM106">
        <f t="shared" si="75"/>
        <v>2</v>
      </c>
      <c r="AN106">
        <v>2</v>
      </c>
      <c r="AO106" t="s">
        <v>143</v>
      </c>
      <c r="AP106">
        <f t="shared" si="76"/>
        <v>0</v>
      </c>
      <c r="AQ106">
        <f t="shared" si="77"/>
        <v>2</v>
      </c>
      <c r="AR106" t="str">
        <f t="shared" si="78"/>
        <v>Derrota</v>
      </c>
      <c r="AS106" s="3" t="str">
        <f t="shared" si="79"/>
        <v>Derrota ajustada</v>
      </c>
    </row>
    <row r="107" spans="1:45" x14ac:dyDescent="0.3">
      <c r="A107" t="s">
        <v>253</v>
      </c>
      <c r="B107">
        <f t="shared" si="60"/>
        <v>2023</v>
      </c>
      <c r="C107" t="str">
        <f t="shared" si="61"/>
        <v>Apr</v>
      </c>
      <c r="D107" t="str" cm="1">
        <f t="array" ref="D107">_xlfn.IFS(OR(C107="Dec", C107="Jan", C107="Feb"), "Invierno", OR(C107="Mar", C107="Apr", C107="May"), "Primavera", OR(C107="Jun", C107="Jul", C107="Aug"), "Verano", OR(C107="Sep", C107="Oct", C107="Nov"), "Otoño")</f>
        <v>Primavera</v>
      </c>
      <c r="E107" t="s">
        <v>22</v>
      </c>
      <c r="F107" t="s">
        <v>23</v>
      </c>
      <c r="G107" t="s">
        <v>75</v>
      </c>
      <c r="H107" t="s">
        <v>32</v>
      </c>
      <c r="I107" t="s">
        <v>59</v>
      </c>
      <c r="J107">
        <v>18</v>
      </c>
      <c r="K107">
        <v>6</v>
      </c>
      <c r="L107">
        <f t="shared" si="62"/>
        <v>6</v>
      </c>
      <c r="M107">
        <f t="shared" si="63"/>
        <v>18</v>
      </c>
      <c r="N107">
        <v>0</v>
      </c>
      <c r="O107">
        <v>6</v>
      </c>
      <c r="P107">
        <f t="shared" si="64"/>
        <v>6</v>
      </c>
      <c r="Q107">
        <f t="shared" si="65"/>
        <v>0</v>
      </c>
      <c r="R107">
        <v>63</v>
      </c>
      <c r="S107">
        <v>37</v>
      </c>
      <c r="T107" s="10">
        <f t="shared" si="66"/>
        <v>37</v>
      </c>
      <c r="U107">
        <f t="shared" si="67"/>
        <v>63</v>
      </c>
      <c r="V107">
        <v>5</v>
      </c>
      <c r="W107">
        <v>1</v>
      </c>
      <c r="X107">
        <v>8</v>
      </c>
      <c r="Y107">
        <v>20</v>
      </c>
      <c r="Z107">
        <f t="shared" si="68"/>
        <v>1</v>
      </c>
      <c r="AA107">
        <f t="shared" si="69"/>
        <v>5</v>
      </c>
      <c r="AB107">
        <f t="shared" si="70"/>
        <v>20</v>
      </c>
      <c r="AC107">
        <f t="shared" si="71"/>
        <v>8</v>
      </c>
      <c r="AD107">
        <v>0</v>
      </c>
      <c r="AE107">
        <v>1</v>
      </c>
      <c r="AF107" t="s">
        <v>173</v>
      </c>
      <c r="AG107">
        <v>0</v>
      </c>
      <c r="AH107">
        <f t="shared" si="72"/>
        <v>1</v>
      </c>
      <c r="AI107">
        <f t="shared" si="73"/>
        <v>0</v>
      </c>
      <c r="AJ107">
        <v>1</v>
      </c>
      <c r="AK107">
        <v>1</v>
      </c>
      <c r="AL107">
        <f t="shared" si="74"/>
        <v>0</v>
      </c>
      <c r="AM107">
        <f t="shared" si="75"/>
        <v>1</v>
      </c>
      <c r="AN107">
        <v>0</v>
      </c>
      <c r="AO107" t="s">
        <v>71</v>
      </c>
      <c r="AP107">
        <f t="shared" si="76"/>
        <v>1</v>
      </c>
      <c r="AQ107">
        <f t="shared" si="77"/>
        <v>1</v>
      </c>
      <c r="AR107" t="str">
        <f t="shared" si="78"/>
        <v>Empate</v>
      </c>
      <c r="AS107" s="3" t="str">
        <f t="shared" si="79"/>
        <v>Empate</v>
      </c>
    </row>
    <row r="108" spans="1:45" x14ac:dyDescent="0.3">
      <c r="A108" t="s">
        <v>254</v>
      </c>
      <c r="B108">
        <f t="shared" si="60"/>
        <v>2023</v>
      </c>
      <c r="C108" t="str">
        <f t="shared" si="61"/>
        <v>Apr</v>
      </c>
      <c r="D108" t="str" cm="1">
        <f t="array" ref="D108">_xlfn.IFS(OR(C108="Dec", C108="Jan", C108="Feb"), "Invierno", OR(C108="Mar", C108="Apr", C108="May"), "Primavera", OR(C108="Jun", C108="Jul", C108="Aug"), "Verano", OR(C108="Sep", C108="Oct", C108="Nov"), "Otoño")</f>
        <v>Primavera</v>
      </c>
      <c r="E108" t="s">
        <v>22</v>
      </c>
      <c r="F108" t="s">
        <v>38</v>
      </c>
      <c r="G108" t="s">
        <v>83</v>
      </c>
      <c r="H108" t="s">
        <v>25</v>
      </c>
      <c r="I108" t="s">
        <v>123</v>
      </c>
      <c r="J108">
        <v>7</v>
      </c>
      <c r="K108">
        <v>14</v>
      </c>
      <c r="L108">
        <f t="shared" si="62"/>
        <v>7</v>
      </c>
      <c r="M108">
        <f t="shared" si="63"/>
        <v>14</v>
      </c>
      <c r="N108">
        <v>0</v>
      </c>
      <c r="O108">
        <v>1</v>
      </c>
      <c r="P108">
        <f t="shared" si="64"/>
        <v>0</v>
      </c>
      <c r="Q108">
        <f t="shared" si="65"/>
        <v>1</v>
      </c>
      <c r="R108">
        <v>37</v>
      </c>
      <c r="S108">
        <v>63</v>
      </c>
      <c r="T108" s="10">
        <f t="shared" si="66"/>
        <v>37</v>
      </c>
      <c r="U108">
        <f t="shared" si="67"/>
        <v>63</v>
      </c>
      <c r="V108">
        <v>3</v>
      </c>
      <c r="W108">
        <v>4</v>
      </c>
      <c r="X108">
        <v>15</v>
      </c>
      <c r="Y108">
        <v>11</v>
      </c>
      <c r="Z108">
        <f t="shared" si="68"/>
        <v>3</v>
      </c>
      <c r="AA108">
        <f t="shared" si="69"/>
        <v>4</v>
      </c>
      <c r="AB108">
        <f t="shared" si="70"/>
        <v>15</v>
      </c>
      <c r="AC108">
        <f t="shared" si="71"/>
        <v>11</v>
      </c>
      <c r="AD108">
        <v>1</v>
      </c>
      <c r="AE108">
        <v>1</v>
      </c>
      <c r="AF108" t="s">
        <v>34</v>
      </c>
      <c r="AG108">
        <v>1</v>
      </c>
      <c r="AH108">
        <f t="shared" si="72"/>
        <v>1</v>
      </c>
      <c r="AI108">
        <f t="shared" si="73"/>
        <v>0</v>
      </c>
      <c r="AJ108">
        <v>0</v>
      </c>
      <c r="AK108">
        <v>2</v>
      </c>
      <c r="AL108">
        <f t="shared" si="74"/>
        <v>2</v>
      </c>
      <c r="AM108">
        <f t="shared" si="75"/>
        <v>1</v>
      </c>
      <c r="AN108">
        <v>1</v>
      </c>
      <c r="AO108" t="s">
        <v>135</v>
      </c>
      <c r="AP108">
        <f t="shared" si="76"/>
        <v>3</v>
      </c>
      <c r="AQ108">
        <f t="shared" si="77"/>
        <v>1</v>
      </c>
      <c r="AR108" t="str">
        <f t="shared" si="78"/>
        <v>Victoria</v>
      </c>
      <c r="AS108" s="3" t="str">
        <f t="shared" si="79"/>
        <v>Victoria dominante</v>
      </c>
    </row>
    <row r="109" spans="1:45" x14ac:dyDescent="0.3">
      <c r="A109" t="s">
        <v>255</v>
      </c>
      <c r="B109">
        <f t="shared" si="60"/>
        <v>2023</v>
      </c>
      <c r="C109" t="str">
        <f t="shared" si="61"/>
        <v>Apr</v>
      </c>
      <c r="D109" t="str" cm="1">
        <f t="array" ref="D109">_xlfn.IFS(OR(C109="Dec", C109="Jan", C109="Feb"), "Invierno", OR(C109="Mar", C109="Apr", C109="May"), "Primavera", OR(C109="Jun", C109="Jul", C109="Aug"), "Verano", OR(C109="Sep", C109="Oct", C109="Nov"), "Otoño")</f>
        <v>Primavera</v>
      </c>
      <c r="E109" t="s">
        <v>22</v>
      </c>
      <c r="F109" t="s">
        <v>23</v>
      </c>
      <c r="G109" t="s">
        <v>31</v>
      </c>
      <c r="H109" t="s">
        <v>25</v>
      </c>
      <c r="I109" t="s">
        <v>54</v>
      </c>
      <c r="J109">
        <v>4</v>
      </c>
      <c r="K109">
        <v>9</v>
      </c>
      <c r="L109">
        <f t="shared" si="62"/>
        <v>9</v>
      </c>
      <c r="M109">
        <f t="shared" si="63"/>
        <v>4</v>
      </c>
      <c r="N109">
        <v>3</v>
      </c>
      <c r="O109">
        <v>3</v>
      </c>
      <c r="P109">
        <f t="shared" si="64"/>
        <v>3</v>
      </c>
      <c r="Q109">
        <f t="shared" si="65"/>
        <v>3</v>
      </c>
      <c r="R109">
        <v>62</v>
      </c>
      <c r="S109">
        <v>38</v>
      </c>
      <c r="T109" s="10">
        <f t="shared" si="66"/>
        <v>38</v>
      </c>
      <c r="U109">
        <f t="shared" si="67"/>
        <v>62</v>
      </c>
      <c r="V109">
        <v>3</v>
      </c>
      <c r="W109">
        <v>3</v>
      </c>
      <c r="X109">
        <v>6</v>
      </c>
      <c r="Y109">
        <v>10</v>
      </c>
      <c r="Z109">
        <f t="shared" si="68"/>
        <v>3</v>
      </c>
      <c r="AA109">
        <f t="shared" si="69"/>
        <v>3</v>
      </c>
      <c r="AB109">
        <f t="shared" si="70"/>
        <v>10</v>
      </c>
      <c r="AC109">
        <f t="shared" si="71"/>
        <v>6</v>
      </c>
      <c r="AD109">
        <v>2</v>
      </c>
      <c r="AE109">
        <v>2</v>
      </c>
      <c r="AF109" t="s">
        <v>96</v>
      </c>
      <c r="AG109">
        <v>0</v>
      </c>
      <c r="AH109">
        <f t="shared" si="72"/>
        <v>1</v>
      </c>
      <c r="AI109">
        <f t="shared" si="73"/>
        <v>0</v>
      </c>
      <c r="AJ109">
        <v>1</v>
      </c>
      <c r="AK109">
        <v>1</v>
      </c>
      <c r="AL109">
        <f t="shared" si="74"/>
        <v>1</v>
      </c>
      <c r="AM109">
        <f t="shared" si="75"/>
        <v>1</v>
      </c>
      <c r="AN109">
        <v>1</v>
      </c>
      <c r="AO109" t="s">
        <v>71</v>
      </c>
      <c r="AP109">
        <f t="shared" si="76"/>
        <v>2</v>
      </c>
      <c r="AQ109">
        <f t="shared" si="77"/>
        <v>1</v>
      </c>
      <c r="AR109" t="str">
        <f t="shared" si="78"/>
        <v>Victoria</v>
      </c>
      <c r="AS109" s="3" t="str">
        <f t="shared" si="79"/>
        <v>Victoria ajustada</v>
      </c>
    </row>
    <row r="110" spans="1:45" x14ac:dyDescent="0.3">
      <c r="A110" t="s">
        <v>256</v>
      </c>
      <c r="B110">
        <f t="shared" si="60"/>
        <v>2023</v>
      </c>
      <c r="C110" t="str">
        <f t="shared" si="61"/>
        <v>May</v>
      </c>
      <c r="D110" t="str" cm="1">
        <f t="array" ref="D110">_xlfn.IFS(OR(C110="Dec", C110="Jan", C110="Feb"), "Invierno", OR(C110="Mar", C110="Apr", C110="May"), "Primavera", OR(C110="Jun", C110="Jul", C110="Aug"), "Verano", OR(C110="Sep", C110="Oct", C110="Nov"), "Otoño")</f>
        <v>Primavera</v>
      </c>
      <c r="E110" t="s">
        <v>62</v>
      </c>
      <c r="F110" t="s">
        <v>38</v>
      </c>
      <c r="G110" t="s">
        <v>63</v>
      </c>
      <c r="H110" t="s">
        <v>32</v>
      </c>
      <c r="I110" t="s">
        <v>129</v>
      </c>
      <c r="J110">
        <v>14</v>
      </c>
      <c r="K110">
        <v>9</v>
      </c>
      <c r="L110">
        <f t="shared" si="62"/>
        <v>14</v>
      </c>
      <c r="M110">
        <f t="shared" si="63"/>
        <v>9</v>
      </c>
      <c r="N110">
        <v>2</v>
      </c>
      <c r="O110">
        <v>3</v>
      </c>
      <c r="P110">
        <f t="shared" si="64"/>
        <v>2</v>
      </c>
      <c r="Q110">
        <f t="shared" si="65"/>
        <v>3</v>
      </c>
      <c r="R110">
        <v>56</v>
      </c>
      <c r="S110">
        <v>44</v>
      </c>
      <c r="T110" s="10">
        <f t="shared" si="66"/>
        <v>56</v>
      </c>
      <c r="U110">
        <f t="shared" si="67"/>
        <v>44</v>
      </c>
      <c r="V110">
        <v>12</v>
      </c>
      <c r="W110">
        <v>3</v>
      </c>
      <c r="X110">
        <v>8</v>
      </c>
      <c r="Y110">
        <v>10</v>
      </c>
      <c r="Z110">
        <f t="shared" si="68"/>
        <v>12</v>
      </c>
      <c r="AA110">
        <f t="shared" si="69"/>
        <v>3</v>
      </c>
      <c r="AB110">
        <f t="shared" si="70"/>
        <v>8</v>
      </c>
      <c r="AC110">
        <f t="shared" si="71"/>
        <v>10</v>
      </c>
      <c r="AD110">
        <v>3</v>
      </c>
      <c r="AE110">
        <v>0</v>
      </c>
      <c r="AF110" t="s">
        <v>103</v>
      </c>
      <c r="AG110">
        <v>1</v>
      </c>
      <c r="AH110">
        <f t="shared" si="72"/>
        <v>1</v>
      </c>
      <c r="AI110">
        <f t="shared" si="73"/>
        <v>1</v>
      </c>
      <c r="AJ110">
        <v>1</v>
      </c>
      <c r="AK110">
        <v>2</v>
      </c>
      <c r="AL110">
        <f t="shared" si="74"/>
        <v>2</v>
      </c>
      <c r="AM110">
        <f t="shared" si="75"/>
        <v>1</v>
      </c>
      <c r="AN110">
        <v>1</v>
      </c>
      <c r="AO110" t="s">
        <v>78</v>
      </c>
      <c r="AP110">
        <f t="shared" si="76"/>
        <v>3</v>
      </c>
      <c r="AQ110">
        <f t="shared" si="77"/>
        <v>2</v>
      </c>
      <c r="AR110" t="str">
        <f t="shared" si="78"/>
        <v>Victoria</v>
      </c>
      <c r="AS110" s="3" t="str">
        <f t="shared" si="79"/>
        <v>Victoria ajustada</v>
      </c>
    </row>
    <row r="111" spans="1:45" x14ac:dyDescent="0.3">
      <c r="A111" t="s">
        <v>257</v>
      </c>
      <c r="B111">
        <f t="shared" si="60"/>
        <v>2023</v>
      </c>
      <c r="C111" t="str">
        <f t="shared" si="61"/>
        <v>May</v>
      </c>
      <c r="D111" t="str" cm="1">
        <f t="array" ref="D111">_xlfn.IFS(OR(C111="Dec", C111="Jan", C111="Feb"), "Invierno", OR(C111="Mar", C111="Apr", C111="May"), "Primavera", OR(C111="Jun", C111="Jul", C111="Aug"), "Verano", OR(C111="Sep", C111="Oct", C111="Nov"), "Otoño")</f>
        <v>Primavera</v>
      </c>
      <c r="E111" t="s">
        <v>37</v>
      </c>
      <c r="F111" t="s">
        <v>38</v>
      </c>
      <c r="G111" t="s">
        <v>351</v>
      </c>
      <c r="H111" t="s">
        <v>25</v>
      </c>
      <c r="I111" t="s">
        <v>69</v>
      </c>
      <c r="J111">
        <v>24</v>
      </c>
      <c r="K111">
        <v>10</v>
      </c>
      <c r="L111">
        <f t="shared" si="62"/>
        <v>24</v>
      </c>
      <c r="M111">
        <f t="shared" si="63"/>
        <v>10</v>
      </c>
      <c r="N111">
        <v>3</v>
      </c>
      <c r="O111">
        <v>1</v>
      </c>
      <c r="P111">
        <f t="shared" si="64"/>
        <v>3</v>
      </c>
      <c r="Q111">
        <f t="shared" si="65"/>
        <v>1</v>
      </c>
      <c r="R111">
        <v>59</v>
      </c>
      <c r="S111">
        <v>41</v>
      </c>
      <c r="T111" s="10">
        <f t="shared" si="66"/>
        <v>59</v>
      </c>
      <c r="U111">
        <f t="shared" si="67"/>
        <v>41</v>
      </c>
      <c r="V111">
        <v>7</v>
      </c>
      <c r="W111">
        <v>3</v>
      </c>
      <c r="X111">
        <v>13</v>
      </c>
      <c r="Y111">
        <v>16</v>
      </c>
      <c r="Z111">
        <f t="shared" si="68"/>
        <v>7</v>
      </c>
      <c r="AA111">
        <f t="shared" si="69"/>
        <v>3</v>
      </c>
      <c r="AB111">
        <f t="shared" si="70"/>
        <v>13</v>
      </c>
      <c r="AC111">
        <f t="shared" si="71"/>
        <v>16</v>
      </c>
      <c r="AD111">
        <v>0</v>
      </c>
      <c r="AE111">
        <v>2</v>
      </c>
      <c r="AF111" t="s">
        <v>60</v>
      </c>
      <c r="AG111">
        <v>0</v>
      </c>
      <c r="AH111">
        <f t="shared" si="72"/>
        <v>0</v>
      </c>
      <c r="AI111">
        <f t="shared" si="73"/>
        <v>0</v>
      </c>
      <c r="AJ111">
        <v>0</v>
      </c>
      <c r="AK111">
        <v>0</v>
      </c>
      <c r="AL111">
        <f t="shared" si="74"/>
        <v>0</v>
      </c>
      <c r="AM111">
        <f t="shared" si="75"/>
        <v>2</v>
      </c>
      <c r="AN111">
        <v>2</v>
      </c>
      <c r="AO111" t="s">
        <v>137</v>
      </c>
      <c r="AP111">
        <f t="shared" si="76"/>
        <v>0</v>
      </c>
      <c r="AQ111">
        <f t="shared" si="77"/>
        <v>2</v>
      </c>
      <c r="AR111" t="str">
        <f t="shared" si="78"/>
        <v>Derrota</v>
      </c>
      <c r="AS111" s="3" t="str">
        <f t="shared" si="79"/>
        <v>Derrota ajustada</v>
      </c>
    </row>
    <row r="112" spans="1:45" x14ac:dyDescent="0.3">
      <c r="A112" t="s">
        <v>258</v>
      </c>
      <c r="B112">
        <f t="shared" si="60"/>
        <v>2023</v>
      </c>
      <c r="C112" t="str">
        <f t="shared" si="61"/>
        <v>May</v>
      </c>
      <c r="D112" t="str" cm="1">
        <f t="array" ref="D112">_xlfn.IFS(OR(C112="Dec", C112="Jan", C112="Feb"), "Invierno", OR(C112="Mar", C112="Apr", C112="May"), "Primavera", OR(C112="Jun", C112="Jul", C112="Aug"), "Verano", OR(C112="Sep", C112="Oct", C112="Nov"), "Otoño")</f>
        <v>Primavera</v>
      </c>
      <c r="E112" t="s">
        <v>30</v>
      </c>
      <c r="F112" t="s">
        <v>23</v>
      </c>
      <c r="G112" t="s">
        <v>158</v>
      </c>
      <c r="H112" t="s">
        <v>25</v>
      </c>
      <c r="I112" t="s">
        <v>121</v>
      </c>
      <c r="J112">
        <v>10</v>
      </c>
      <c r="K112">
        <v>13</v>
      </c>
      <c r="L112">
        <f t="shared" si="62"/>
        <v>13</v>
      </c>
      <c r="M112">
        <f t="shared" si="63"/>
        <v>10</v>
      </c>
      <c r="N112">
        <v>3</v>
      </c>
      <c r="O112">
        <v>3</v>
      </c>
      <c r="P112">
        <f t="shared" si="64"/>
        <v>3</v>
      </c>
      <c r="Q112">
        <f t="shared" si="65"/>
        <v>3</v>
      </c>
      <c r="R112">
        <v>52</v>
      </c>
      <c r="S112">
        <v>48</v>
      </c>
      <c r="T112" s="10">
        <f t="shared" si="66"/>
        <v>48</v>
      </c>
      <c r="U112">
        <f t="shared" si="67"/>
        <v>52</v>
      </c>
      <c r="V112">
        <v>5</v>
      </c>
      <c r="W112">
        <v>3</v>
      </c>
      <c r="X112">
        <v>9</v>
      </c>
      <c r="Y112">
        <v>18</v>
      </c>
      <c r="Z112">
        <f t="shared" si="68"/>
        <v>3</v>
      </c>
      <c r="AA112">
        <f t="shared" si="69"/>
        <v>5</v>
      </c>
      <c r="AB112">
        <f t="shared" si="70"/>
        <v>18</v>
      </c>
      <c r="AC112">
        <f t="shared" si="71"/>
        <v>9</v>
      </c>
      <c r="AD112">
        <v>1</v>
      </c>
      <c r="AE112">
        <v>2</v>
      </c>
      <c r="AF112" t="s">
        <v>114</v>
      </c>
      <c r="AG112">
        <v>0</v>
      </c>
      <c r="AH112">
        <f t="shared" si="72"/>
        <v>0</v>
      </c>
      <c r="AI112">
        <f t="shared" si="73"/>
        <v>0</v>
      </c>
      <c r="AJ112">
        <v>0</v>
      </c>
      <c r="AK112">
        <v>1</v>
      </c>
      <c r="AL112">
        <f t="shared" si="74"/>
        <v>0</v>
      </c>
      <c r="AM112">
        <f t="shared" si="75"/>
        <v>1</v>
      </c>
      <c r="AN112">
        <v>0</v>
      </c>
      <c r="AO112" t="s">
        <v>171</v>
      </c>
      <c r="AP112">
        <f t="shared" si="76"/>
        <v>0</v>
      </c>
      <c r="AQ112">
        <f t="shared" si="77"/>
        <v>1</v>
      </c>
      <c r="AR112" t="str">
        <f t="shared" si="78"/>
        <v>Derrota</v>
      </c>
      <c r="AS112" s="3" t="str">
        <f t="shared" si="79"/>
        <v>Derrota ajustada</v>
      </c>
    </row>
    <row r="113" spans="1:45" x14ac:dyDescent="0.3">
      <c r="A113" t="s">
        <v>259</v>
      </c>
      <c r="B113">
        <f t="shared" si="60"/>
        <v>2023</v>
      </c>
      <c r="C113" t="str">
        <f t="shared" si="61"/>
        <v>May</v>
      </c>
      <c r="D113" t="str" cm="1">
        <f t="array" ref="D113">_xlfn.IFS(OR(C113="Dec", C113="Jan", C113="Feb"), "Invierno", OR(C113="Mar", C113="Apr", C113="May"), "Primavera", OR(C113="Jun", C113="Jul", C113="Aug"), "Verano", OR(C113="Sep", C113="Oct", C113="Nov"), "Otoño")</f>
        <v>Primavera</v>
      </c>
      <c r="E113" t="s">
        <v>62</v>
      </c>
      <c r="F113" t="s">
        <v>38</v>
      </c>
      <c r="G113" t="s">
        <v>68</v>
      </c>
      <c r="H113" t="s">
        <v>25</v>
      </c>
      <c r="I113" t="s">
        <v>123</v>
      </c>
      <c r="J113">
        <v>13</v>
      </c>
      <c r="K113">
        <v>10</v>
      </c>
      <c r="L113">
        <f t="shared" si="62"/>
        <v>13</v>
      </c>
      <c r="M113">
        <f t="shared" si="63"/>
        <v>10</v>
      </c>
      <c r="N113">
        <v>1</v>
      </c>
      <c r="O113">
        <v>2</v>
      </c>
      <c r="P113">
        <f t="shared" si="64"/>
        <v>1</v>
      </c>
      <c r="Q113">
        <f t="shared" si="65"/>
        <v>2</v>
      </c>
      <c r="R113">
        <v>59</v>
      </c>
      <c r="S113">
        <v>41</v>
      </c>
      <c r="T113" s="10">
        <f t="shared" si="66"/>
        <v>59</v>
      </c>
      <c r="U113">
        <f t="shared" si="67"/>
        <v>41</v>
      </c>
      <c r="V113">
        <v>6</v>
      </c>
      <c r="W113">
        <v>3</v>
      </c>
      <c r="X113">
        <v>9</v>
      </c>
      <c r="Y113">
        <v>11</v>
      </c>
      <c r="Z113">
        <f t="shared" si="68"/>
        <v>6</v>
      </c>
      <c r="AA113">
        <f t="shared" si="69"/>
        <v>3</v>
      </c>
      <c r="AB113">
        <f t="shared" si="70"/>
        <v>9</v>
      </c>
      <c r="AC113">
        <f t="shared" si="71"/>
        <v>11</v>
      </c>
      <c r="AD113">
        <v>4</v>
      </c>
      <c r="AE113">
        <v>1</v>
      </c>
      <c r="AF113" t="s">
        <v>119</v>
      </c>
      <c r="AG113">
        <v>1</v>
      </c>
      <c r="AH113">
        <f t="shared" si="72"/>
        <v>1</v>
      </c>
      <c r="AI113">
        <f t="shared" si="73"/>
        <v>1</v>
      </c>
      <c r="AJ113">
        <v>1</v>
      </c>
      <c r="AK113">
        <v>2</v>
      </c>
      <c r="AL113">
        <f t="shared" si="74"/>
        <v>2</v>
      </c>
      <c r="AM113">
        <f t="shared" si="75"/>
        <v>1</v>
      </c>
      <c r="AN113">
        <v>1</v>
      </c>
      <c r="AO113" t="s">
        <v>111</v>
      </c>
      <c r="AP113">
        <f t="shared" si="76"/>
        <v>3</v>
      </c>
      <c r="AQ113">
        <f t="shared" si="77"/>
        <v>2</v>
      </c>
      <c r="AR113" t="str">
        <f t="shared" si="78"/>
        <v>Victoria</v>
      </c>
      <c r="AS113" s="3" t="str">
        <f t="shared" si="79"/>
        <v>Victoria ajustada</v>
      </c>
    </row>
    <row r="114" spans="1:45" x14ac:dyDescent="0.3">
      <c r="A114" t="s">
        <v>260</v>
      </c>
      <c r="B114">
        <f t="shared" si="60"/>
        <v>2023</v>
      </c>
      <c r="C114" t="str">
        <f t="shared" si="61"/>
        <v>May</v>
      </c>
      <c r="D114" t="str" cm="1">
        <f t="array" ref="D114">_xlfn.IFS(OR(C114="Dec", C114="Jan", C114="Feb"), "Invierno", OR(C114="Mar", C114="Apr", C114="May"), "Primavera", OR(C114="Jun", C114="Jul", C114="Aug"), "Verano", OR(C114="Sep", C114="Oct", C114="Nov"), "Otoño")</f>
        <v>Primavera</v>
      </c>
      <c r="E114" t="s">
        <v>22</v>
      </c>
      <c r="F114" t="s">
        <v>23</v>
      </c>
      <c r="G114" t="s">
        <v>58</v>
      </c>
      <c r="H114" t="s">
        <v>25</v>
      </c>
      <c r="I114" t="s">
        <v>129</v>
      </c>
      <c r="J114">
        <v>20</v>
      </c>
      <c r="K114">
        <v>11</v>
      </c>
      <c r="L114">
        <f t="shared" si="62"/>
        <v>11</v>
      </c>
      <c r="M114">
        <f t="shared" si="63"/>
        <v>20</v>
      </c>
      <c r="N114">
        <v>2</v>
      </c>
      <c r="O114">
        <v>8</v>
      </c>
      <c r="P114">
        <f t="shared" si="64"/>
        <v>8</v>
      </c>
      <c r="Q114">
        <f t="shared" si="65"/>
        <v>2</v>
      </c>
      <c r="R114">
        <v>52</v>
      </c>
      <c r="S114">
        <v>48</v>
      </c>
      <c r="T114" s="10">
        <f t="shared" si="66"/>
        <v>48</v>
      </c>
      <c r="U114">
        <f t="shared" si="67"/>
        <v>52</v>
      </c>
      <c r="V114">
        <v>9</v>
      </c>
      <c r="W114">
        <v>7</v>
      </c>
      <c r="X114">
        <v>8</v>
      </c>
      <c r="Y114">
        <v>18</v>
      </c>
      <c r="Z114">
        <f t="shared" si="68"/>
        <v>7</v>
      </c>
      <c r="AA114">
        <f t="shared" si="69"/>
        <v>9</v>
      </c>
      <c r="AB114">
        <f t="shared" si="70"/>
        <v>18</v>
      </c>
      <c r="AC114">
        <f t="shared" si="71"/>
        <v>8</v>
      </c>
      <c r="AD114">
        <v>1</v>
      </c>
      <c r="AE114">
        <v>1</v>
      </c>
      <c r="AF114" t="s">
        <v>134</v>
      </c>
      <c r="AG114">
        <v>2</v>
      </c>
      <c r="AH114">
        <f t="shared" si="72"/>
        <v>1</v>
      </c>
      <c r="AI114">
        <f t="shared" si="73"/>
        <v>2</v>
      </c>
      <c r="AJ114">
        <v>1</v>
      </c>
      <c r="AK114">
        <v>1</v>
      </c>
      <c r="AL114">
        <f t="shared" si="74"/>
        <v>1</v>
      </c>
      <c r="AM114">
        <f t="shared" si="75"/>
        <v>1</v>
      </c>
      <c r="AN114">
        <v>1</v>
      </c>
      <c r="AO114" t="s">
        <v>135</v>
      </c>
      <c r="AP114">
        <f t="shared" si="76"/>
        <v>2</v>
      </c>
      <c r="AQ114">
        <f t="shared" si="77"/>
        <v>3</v>
      </c>
      <c r="AR114" t="str">
        <f t="shared" si="78"/>
        <v>Derrota</v>
      </c>
      <c r="AS114" s="3" t="str">
        <f t="shared" si="79"/>
        <v>Derrota ajustada</v>
      </c>
    </row>
    <row r="115" spans="1:45" x14ac:dyDescent="0.3">
      <c r="A115" t="s">
        <v>261</v>
      </c>
      <c r="B115">
        <f t="shared" si="60"/>
        <v>2023</v>
      </c>
      <c r="C115" t="str">
        <f t="shared" si="61"/>
        <v>Jun</v>
      </c>
      <c r="D115" t="str" cm="1">
        <f t="array" ref="D115">_xlfn.IFS(OR(C115="Dec", C115="Jan", C115="Feb"), "Invierno", OR(C115="Mar", C115="Apr", C115="May"), "Primavera", OR(C115="Jun", C115="Jul", C115="Aug"), "Verano", OR(C115="Sep", C115="Oct", C115="Nov"), "Otoño")</f>
        <v>Verano</v>
      </c>
      <c r="E115" t="s">
        <v>206</v>
      </c>
      <c r="F115" t="s">
        <v>38</v>
      </c>
      <c r="G115" t="s">
        <v>219</v>
      </c>
      <c r="H115" t="s">
        <v>25</v>
      </c>
      <c r="I115" t="s">
        <v>40</v>
      </c>
      <c r="J115">
        <v>20</v>
      </c>
      <c r="K115">
        <v>8</v>
      </c>
      <c r="L115">
        <f t="shared" si="62"/>
        <v>20</v>
      </c>
      <c r="M115">
        <f t="shared" si="63"/>
        <v>8</v>
      </c>
      <c r="N115">
        <v>2</v>
      </c>
      <c r="O115">
        <v>5</v>
      </c>
      <c r="P115">
        <f t="shared" si="64"/>
        <v>2</v>
      </c>
      <c r="Q115">
        <f t="shared" si="65"/>
        <v>5</v>
      </c>
      <c r="R115">
        <v>39</v>
      </c>
      <c r="S115">
        <v>61</v>
      </c>
      <c r="T115" s="10">
        <f t="shared" si="66"/>
        <v>39</v>
      </c>
      <c r="U115">
        <f t="shared" si="67"/>
        <v>61</v>
      </c>
      <c r="V115">
        <v>5</v>
      </c>
      <c r="W115">
        <v>1</v>
      </c>
      <c r="X115">
        <v>13</v>
      </c>
      <c r="Y115">
        <v>8</v>
      </c>
      <c r="Z115">
        <f t="shared" si="68"/>
        <v>5</v>
      </c>
      <c r="AA115">
        <f t="shared" si="69"/>
        <v>1</v>
      </c>
      <c r="AB115">
        <f t="shared" si="70"/>
        <v>13</v>
      </c>
      <c r="AC115">
        <f t="shared" si="71"/>
        <v>8</v>
      </c>
      <c r="AD115">
        <v>2</v>
      </c>
      <c r="AE115">
        <v>3</v>
      </c>
      <c r="AF115" t="s">
        <v>84</v>
      </c>
      <c r="AG115">
        <v>1</v>
      </c>
      <c r="AH115">
        <f t="shared" si="72"/>
        <v>1</v>
      </c>
      <c r="AI115">
        <f t="shared" si="73"/>
        <v>0</v>
      </c>
      <c r="AJ115">
        <v>0</v>
      </c>
      <c r="AK115">
        <v>4</v>
      </c>
      <c r="AL115">
        <f t="shared" si="74"/>
        <v>4</v>
      </c>
      <c r="AM115">
        <f t="shared" si="75"/>
        <v>2</v>
      </c>
      <c r="AN115">
        <v>2</v>
      </c>
      <c r="AO115" t="s">
        <v>51</v>
      </c>
      <c r="AP115">
        <f t="shared" si="76"/>
        <v>5</v>
      </c>
      <c r="AQ115">
        <f t="shared" si="77"/>
        <v>2</v>
      </c>
      <c r="AR115" t="str">
        <f t="shared" si="78"/>
        <v>Victoria</v>
      </c>
      <c r="AS115" s="3" t="str">
        <f t="shared" si="79"/>
        <v>Victoria dominante</v>
      </c>
    </row>
    <row r="116" spans="1:45" x14ac:dyDescent="0.3">
      <c r="A116" t="s">
        <v>262</v>
      </c>
      <c r="B116">
        <f t="shared" si="60"/>
        <v>2023</v>
      </c>
      <c r="C116" t="str">
        <f t="shared" si="61"/>
        <v>Aug</v>
      </c>
      <c r="D116" t="str" cm="1">
        <f t="array" ref="D116">_xlfn.IFS(OR(C116="Dec", C116="Jan", C116="Feb"), "Invierno", OR(C116="Mar", C116="Apr", C116="May"), "Primavera", OR(C116="Jun", C116="Jul", C116="Aug"), "Verano", OR(C116="Sep", C116="Oct", C116="Nov"), "Otoño")</f>
        <v>Verano</v>
      </c>
      <c r="E116" t="s">
        <v>80</v>
      </c>
      <c r="F116" t="s">
        <v>23</v>
      </c>
      <c r="G116" t="s">
        <v>91</v>
      </c>
      <c r="H116" t="s">
        <v>25</v>
      </c>
      <c r="I116" t="s">
        <v>69</v>
      </c>
      <c r="J116">
        <v>11</v>
      </c>
      <c r="K116">
        <v>16</v>
      </c>
      <c r="L116">
        <f t="shared" si="62"/>
        <v>16</v>
      </c>
      <c r="M116">
        <f t="shared" si="63"/>
        <v>11</v>
      </c>
      <c r="N116">
        <v>2</v>
      </c>
      <c r="O116">
        <v>3</v>
      </c>
      <c r="P116">
        <f t="shared" si="64"/>
        <v>3</v>
      </c>
      <c r="Q116">
        <f t="shared" si="65"/>
        <v>2</v>
      </c>
      <c r="R116">
        <v>49</v>
      </c>
      <c r="S116">
        <v>51</v>
      </c>
      <c r="T116" s="10">
        <f t="shared" si="66"/>
        <v>51</v>
      </c>
      <c r="U116">
        <f t="shared" si="67"/>
        <v>49</v>
      </c>
      <c r="V116">
        <v>7</v>
      </c>
      <c r="W116">
        <v>7</v>
      </c>
      <c r="X116">
        <v>9</v>
      </c>
      <c r="Y116">
        <v>13</v>
      </c>
      <c r="Z116">
        <f t="shared" si="68"/>
        <v>7</v>
      </c>
      <c r="AA116">
        <f t="shared" si="69"/>
        <v>7</v>
      </c>
      <c r="AB116">
        <f t="shared" si="70"/>
        <v>13</v>
      </c>
      <c r="AC116">
        <f t="shared" si="71"/>
        <v>9</v>
      </c>
      <c r="AD116">
        <v>0</v>
      </c>
      <c r="AE116">
        <v>2</v>
      </c>
      <c r="AF116" t="s">
        <v>263</v>
      </c>
      <c r="AG116">
        <v>0</v>
      </c>
      <c r="AH116">
        <f t="shared" si="72"/>
        <v>0</v>
      </c>
      <c r="AI116">
        <f t="shared" si="73"/>
        <v>0</v>
      </c>
      <c r="AJ116">
        <v>0</v>
      </c>
      <c r="AK116">
        <v>0</v>
      </c>
      <c r="AL116">
        <f t="shared" si="74"/>
        <v>2</v>
      </c>
      <c r="AM116">
        <f t="shared" si="75"/>
        <v>0</v>
      </c>
      <c r="AN116">
        <v>2</v>
      </c>
      <c r="AO116" t="s">
        <v>147</v>
      </c>
      <c r="AP116">
        <f t="shared" si="76"/>
        <v>2</v>
      </c>
      <c r="AQ116">
        <f t="shared" si="77"/>
        <v>0</v>
      </c>
      <c r="AR116" t="str">
        <f t="shared" si="78"/>
        <v>Victoria</v>
      </c>
      <c r="AS116" s="3" t="str">
        <f t="shared" si="79"/>
        <v>Victoria dominante</v>
      </c>
    </row>
    <row r="117" spans="1:45" x14ac:dyDescent="0.3">
      <c r="A117" t="s">
        <v>264</v>
      </c>
      <c r="B117">
        <f t="shared" si="60"/>
        <v>2023</v>
      </c>
      <c r="C117" t="str">
        <f t="shared" si="61"/>
        <v>Aug</v>
      </c>
      <c r="D117" t="str" cm="1">
        <f t="array" ref="D117">_xlfn.IFS(OR(C117="Dec", C117="Jan", C117="Feb"), "Invierno", OR(C117="Mar", C117="Apr", C117="May"), "Primavera", OR(C117="Jun", C117="Jul", C117="Aug"), "Verano", OR(C117="Sep", C117="Oct", C117="Nov"), "Otoño")</f>
        <v>Verano</v>
      </c>
      <c r="E117" t="s">
        <v>80</v>
      </c>
      <c r="F117" t="s">
        <v>23</v>
      </c>
      <c r="G117" t="s">
        <v>265</v>
      </c>
      <c r="H117" t="s">
        <v>32</v>
      </c>
      <c r="I117" t="s">
        <v>161</v>
      </c>
      <c r="J117">
        <v>13</v>
      </c>
      <c r="K117">
        <v>18</v>
      </c>
      <c r="L117">
        <f t="shared" si="62"/>
        <v>18</v>
      </c>
      <c r="M117">
        <f t="shared" si="63"/>
        <v>13</v>
      </c>
      <c r="N117">
        <v>5</v>
      </c>
      <c r="O117">
        <v>3</v>
      </c>
      <c r="P117">
        <f t="shared" si="64"/>
        <v>3</v>
      </c>
      <c r="Q117">
        <f t="shared" si="65"/>
        <v>5</v>
      </c>
      <c r="R117">
        <v>37</v>
      </c>
      <c r="S117">
        <v>63</v>
      </c>
      <c r="T117" s="10">
        <f t="shared" si="66"/>
        <v>63</v>
      </c>
      <c r="U117">
        <f t="shared" si="67"/>
        <v>37</v>
      </c>
      <c r="V117">
        <v>3</v>
      </c>
      <c r="W117">
        <v>7</v>
      </c>
      <c r="X117">
        <v>10</v>
      </c>
      <c r="Y117">
        <v>10</v>
      </c>
      <c r="Z117">
        <f t="shared" si="68"/>
        <v>7</v>
      </c>
      <c r="AA117">
        <f t="shared" si="69"/>
        <v>3</v>
      </c>
      <c r="AB117">
        <f t="shared" si="70"/>
        <v>10</v>
      </c>
      <c r="AC117">
        <f t="shared" si="71"/>
        <v>10</v>
      </c>
      <c r="AD117">
        <v>1</v>
      </c>
      <c r="AE117">
        <v>1</v>
      </c>
      <c r="AF117" t="s">
        <v>96</v>
      </c>
      <c r="AG117">
        <v>2</v>
      </c>
      <c r="AH117">
        <f t="shared" si="72"/>
        <v>0</v>
      </c>
      <c r="AI117">
        <f t="shared" si="73"/>
        <v>2</v>
      </c>
      <c r="AJ117">
        <v>0</v>
      </c>
      <c r="AK117">
        <v>0</v>
      </c>
      <c r="AL117">
        <f t="shared" si="74"/>
        <v>1</v>
      </c>
      <c r="AM117">
        <f t="shared" si="75"/>
        <v>0</v>
      </c>
      <c r="AN117">
        <v>1</v>
      </c>
      <c r="AO117" t="s">
        <v>171</v>
      </c>
      <c r="AP117">
        <f t="shared" si="76"/>
        <v>1</v>
      </c>
      <c r="AQ117">
        <f t="shared" si="77"/>
        <v>2</v>
      </c>
      <c r="AR117" t="str">
        <f t="shared" si="78"/>
        <v>Derrota</v>
      </c>
      <c r="AS117" s="3" t="str">
        <f t="shared" si="79"/>
        <v>Derrota ajustada</v>
      </c>
    </row>
    <row r="118" spans="1:45" x14ac:dyDescent="0.3">
      <c r="A118" t="s">
        <v>266</v>
      </c>
      <c r="B118">
        <f t="shared" si="60"/>
        <v>2023</v>
      </c>
      <c r="C118" t="str">
        <f t="shared" si="61"/>
        <v>Sep</v>
      </c>
      <c r="D118" t="str" cm="1">
        <f t="array" ref="D118">_xlfn.IFS(OR(C118="Dec", C118="Jan", C118="Feb"), "Invierno", OR(C118="Mar", C118="Apr", C118="May"), "Primavera", OR(C118="Jun", C118="Jul", C118="Aug"), "Verano", OR(C118="Sep", C118="Oct", C118="Nov"), "Otoño")</f>
        <v>Otoño</v>
      </c>
      <c r="E118" t="s">
        <v>22</v>
      </c>
      <c r="F118" t="s">
        <v>38</v>
      </c>
      <c r="G118" t="s">
        <v>219</v>
      </c>
      <c r="H118" t="s">
        <v>25</v>
      </c>
      <c r="I118" t="s">
        <v>76</v>
      </c>
      <c r="J118">
        <v>18</v>
      </c>
      <c r="K118">
        <v>8</v>
      </c>
      <c r="L118">
        <f t="shared" si="62"/>
        <v>18</v>
      </c>
      <c r="M118">
        <f t="shared" si="63"/>
        <v>8</v>
      </c>
      <c r="N118">
        <v>2</v>
      </c>
      <c r="O118">
        <v>5</v>
      </c>
      <c r="P118">
        <f t="shared" si="64"/>
        <v>2</v>
      </c>
      <c r="Q118">
        <f t="shared" si="65"/>
        <v>5</v>
      </c>
      <c r="R118">
        <v>41</v>
      </c>
      <c r="S118">
        <v>59</v>
      </c>
      <c r="T118" s="10">
        <f t="shared" si="66"/>
        <v>41</v>
      </c>
      <c r="U118">
        <f t="shared" si="67"/>
        <v>59</v>
      </c>
      <c r="V118">
        <v>7</v>
      </c>
      <c r="W118">
        <v>3</v>
      </c>
      <c r="X118">
        <v>11</v>
      </c>
      <c r="Y118">
        <v>9</v>
      </c>
      <c r="Z118">
        <f t="shared" si="68"/>
        <v>7</v>
      </c>
      <c r="AA118">
        <f t="shared" si="69"/>
        <v>3</v>
      </c>
      <c r="AB118">
        <f t="shared" si="70"/>
        <v>11</v>
      </c>
      <c r="AC118">
        <f t="shared" si="71"/>
        <v>9</v>
      </c>
      <c r="AD118">
        <v>4</v>
      </c>
      <c r="AE118">
        <v>1</v>
      </c>
      <c r="AF118" t="s">
        <v>267</v>
      </c>
      <c r="AG118">
        <v>2</v>
      </c>
      <c r="AH118">
        <f t="shared" si="72"/>
        <v>2</v>
      </c>
      <c r="AI118">
        <f t="shared" si="73"/>
        <v>0</v>
      </c>
      <c r="AJ118">
        <v>0</v>
      </c>
      <c r="AK118">
        <v>1</v>
      </c>
      <c r="AL118">
        <f t="shared" si="74"/>
        <v>1</v>
      </c>
      <c r="AM118">
        <f t="shared" si="75"/>
        <v>0</v>
      </c>
      <c r="AN118">
        <v>0</v>
      </c>
      <c r="AO118" t="s">
        <v>71</v>
      </c>
      <c r="AP118">
        <f t="shared" si="76"/>
        <v>3</v>
      </c>
      <c r="AQ118">
        <f t="shared" si="77"/>
        <v>0</v>
      </c>
      <c r="AR118" t="str">
        <f t="shared" si="78"/>
        <v>Victoria</v>
      </c>
      <c r="AS118" s="3" t="str">
        <f t="shared" si="79"/>
        <v>Victoria dominante</v>
      </c>
    </row>
    <row r="119" spans="1:45" x14ac:dyDescent="0.3">
      <c r="A119" t="s">
        <v>268</v>
      </c>
      <c r="B119">
        <f t="shared" si="60"/>
        <v>2023</v>
      </c>
      <c r="C119" t="str">
        <f t="shared" si="61"/>
        <v>Sep</v>
      </c>
      <c r="D119" t="str" cm="1">
        <f t="array" ref="D119">_xlfn.IFS(OR(C119="Dec", C119="Jan", C119="Feb"), "Invierno", OR(C119="Mar", C119="Apr", C119="May"), "Primavera", OR(C119="Jun", C119="Jul", C119="Aug"), "Verano", OR(C119="Sep", C119="Oct", C119="Nov"), "Otoño")</f>
        <v>Otoño</v>
      </c>
      <c r="E119" t="s">
        <v>62</v>
      </c>
      <c r="F119" t="s">
        <v>23</v>
      </c>
      <c r="G119" t="s">
        <v>75</v>
      </c>
      <c r="H119" t="s">
        <v>32</v>
      </c>
      <c r="I119" t="s">
        <v>129</v>
      </c>
      <c r="J119">
        <v>15</v>
      </c>
      <c r="K119">
        <v>11</v>
      </c>
      <c r="L119">
        <f t="shared" si="62"/>
        <v>11</v>
      </c>
      <c r="M119">
        <f t="shared" si="63"/>
        <v>15</v>
      </c>
      <c r="N119">
        <v>2</v>
      </c>
      <c r="O119">
        <v>5</v>
      </c>
      <c r="P119">
        <f t="shared" si="64"/>
        <v>5</v>
      </c>
      <c r="Q119">
        <f t="shared" si="65"/>
        <v>2</v>
      </c>
      <c r="R119">
        <v>57</v>
      </c>
      <c r="S119">
        <v>43</v>
      </c>
      <c r="T119" s="10">
        <f t="shared" si="66"/>
        <v>43</v>
      </c>
      <c r="U119">
        <f t="shared" si="67"/>
        <v>57</v>
      </c>
      <c r="V119">
        <v>3</v>
      </c>
      <c r="W119">
        <v>4</v>
      </c>
      <c r="X119">
        <v>8</v>
      </c>
      <c r="Y119">
        <v>14</v>
      </c>
      <c r="Z119">
        <f t="shared" si="68"/>
        <v>4</v>
      </c>
      <c r="AA119">
        <f t="shared" si="69"/>
        <v>3</v>
      </c>
      <c r="AB119">
        <f t="shared" si="70"/>
        <v>14</v>
      </c>
      <c r="AC119">
        <f t="shared" si="71"/>
        <v>8</v>
      </c>
      <c r="AD119">
        <v>0</v>
      </c>
      <c r="AE119">
        <v>2</v>
      </c>
      <c r="AF119" t="s">
        <v>127</v>
      </c>
      <c r="AG119">
        <v>1</v>
      </c>
      <c r="AH119">
        <f t="shared" si="72"/>
        <v>1</v>
      </c>
      <c r="AI119">
        <f t="shared" si="73"/>
        <v>1</v>
      </c>
      <c r="AJ119">
        <v>1</v>
      </c>
      <c r="AK119">
        <v>2</v>
      </c>
      <c r="AL119">
        <f t="shared" si="74"/>
        <v>1</v>
      </c>
      <c r="AM119">
        <f t="shared" si="75"/>
        <v>2</v>
      </c>
      <c r="AN119">
        <v>1</v>
      </c>
      <c r="AO119" t="s">
        <v>143</v>
      </c>
      <c r="AP119">
        <f t="shared" si="76"/>
        <v>2</v>
      </c>
      <c r="AQ119">
        <f t="shared" si="77"/>
        <v>3</v>
      </c>
      <c r="AR119" t="str">
        <f t="shared" si="78"/>
        <v>Derrota</v>
      </c>
      <c r="AS119" s="3" t="str">
        <f t="shared" si="79"/>
        <v>Derrota ajustada</v>
      </c>
    </row>
    <row r="120" spans="1:45" x14ac:dyDescent="0.3">
      <c r="A120" t="s">
        <v>269</v>
      </c>
      <c r="B120">
        <f t="shared" si="60"/>
        <v>2023</v>
      </c>
      <c r="C120" t="str">
        <f t="shared" si="61"/>
        <v>Sep</v>
      </c>
      <c r="D120" t="str" cm="1">
        <f t="array" ref="D120">_xlfn.IFS(OR(C120="Dec", C120="Jan", C120="Feb"), "Invierno", OR(C120="Mar", C120="Apr", C120="May"), "Primavera", OR(C120="Jun", C120="Jul", C120="Aug"), "Verano", OR(C120="Sep", C120="Oct", C120="Nov"), "Otoño")</f>
        <v>Otoño</v>
      </c>
      <c r="E120" t="s">
        <v>30</v>
      </c>
      <c r="F120" t="s">
        <v>38</v>
      </c>
      <c r="G120" t="s">
        <v>39</v>
      </c>
      <c r="H120" t="s">
        <v>25</v>
      </c>
      <c r="I120" t="s">
        <v>150</v>
      </c>
      <c r="J120">
        <v>10</v>
      </c>
      <c r="K120">
        <v>10</v>
      </c>
      <c r="L120">
        <f t="shared" si="62"/>
        <v>10</v>
      </c>
      <c r="M120">
        <f t="shared" si="63"/>
        <v>10</v>
      </c>
      <c r="N120">
        <v>0</v>
      </c>
      <c r="O120">
        <v>4</v>
      </c>
      <c r="P120">
        <f t="shared" si="64"/>
        <v>0</v>
      </c>
      <c r="Q120">
        <f t="shared" si="65"/>
        <v>4</v>
      </c>
      <c r="R120">
        <v>57</v>
      </c>
      <c r="S120">
        <v>43</v>
      </c>
      <c r="T120" s="10">
        <f t="shared" si="66"/>
        <v>57</v>
      </c>
      <c r="U120">
        <f t="shared" si="67"/>
        <v>43</v>
      </c>
      <c r="V120">
        <v>7</v>
      </c>
      <c r="W120">
        <v>7</v>
      </c>
      <c r="X120">
        <v>6</v>
      </c>
      <c r="Y120">
        <v>11</v>
      </c>
      <c r="Z120">
        <f t="shared" si="68"/>
        <v>7</v>
      </c>
      <c r="AA120">
        <f t="shared" si="69"/>
        <v>7</v>
      </c>
      <c r="AB120">
        <f t="shared" si="70"/>
        <v>6</v>
      </c>
      <c r="AC120">
        <f t="shared" si="71"/>
        <v>11</v>
      </c>
      <c r="AD120">
        <v>5</v>
      </c>
      <c r="AE120">
        <v>1</v>
      </c>
      <c r="AF120" t="s">
        <v>270</v>
      </c>
      <c r="AG120">
        <v>1</v>
      </c>
      <c r="AH120">
        <f t="shared" si="72"/>
        <v>1</v>
      </c>
      <c r="AI120">
        <f t="shared" si="73"/>
        <v>0</v>
      </c>
      <c r="AJ120">
        <v>0</v>
      </c>
      <c r="AK120">
        <v>1</v>
      </c>
      <c r="AL120">
        <f t="shared" si="74"/>
        <v>1</v>
      </c>
      <c r="AM120">
        <f t="shared" si="75"/>
        <v>0</v>
      </c>
      <c r="AN120">
        <v>0</v>
      </c>
      <c r="AO120" t="s">
        <v>111</v>
      </c>
      <c r="AP120">
        <f t="shared" si="76"/>
        <v>2</v>
      </c>
      <c r="AQ120">
        <f t="shared" si="77"/>
        <v>0</v>
      </c>
      <c r="AR120" t="str">
        <f t="shared" si="78"/>
        <v>Victoria</v>
      </c>
      <c r="AS120" s="3" t="str">
        <f t="shared" si="79"/>
        <v>Victoria dominante</v>
      </c>
    </row>
    <row r="121" spans="1:45" x14ac:dyDescent="0.3">
      <c r="A121" t="s">
        <v>271</v>
      </c>
      <c r="B121">
        <f t="shared" si="60"/>
        <v>2023</v>
      </c>
      <c r="C121" t="str">
        <f t="shared" si="61"/>
        <v>Sep</v>
      </c>
      <c r="D121" t="str" cm="1">
        <f t="array" ref="D121">_xlfn.IFS(OR(C121="Dec", C121="Jan", C121="Feb"), "Invierno", OR(C121="Mar", C121="Apr", C121="May"), "Primavera", OR(C121="Jun", C121="Jul", C121="Aug"), "Verano", OR(C121="Sep", C121="Oct", C121="Nov"), "Otoño")</f>
        <v>Otoño</v>
      </c>
      <c r="E121" t="s">
        <v>80</v>
      </c>
      <c r="F121" t="s">
        <v>23</v>
      </c>
      <c r="G121" t="s">
        <v>68</v>
      </c>
      <c r="H121" t="s">
        <v>25</v>
      </c>
      <c r="I121" t="s">
        <v>113</v>
      </c>
      <c r="J121">
        <v>11</v>
      </c>
      <c r="K121">
        <v>8</v>
      </c>
      <c r="L121">
        <f t="shared" si="62"/>
        <v>8</v>
      </c>
      <c r="M121">
        <f t="shared" si="63"/>
        <v>11</v>
      </c>
      <c r="N121">
        <v>1</v>
      </c>
      <c r="O121">
        <v>2</v>
      </c>
      <c r="P121">
        <f t="shared" si="64"/>
        <v>2</v>
      </c>
      <c r="Q121">
        <f t="shared" si="65"/>
        <v>1</v>
      </c>
      <c r="R121">
        <v>51</v>
      </c>
      <c r="S121">
        <v>49</v>
      </c>
      <c r="T121" s="10">
        <f t="shared" si="66"/>
        <v>49</v>
      </c>
      <c r="U121">
        <f t="shared" si="67"/>
        <v>51</v>
      </c>
      <c r="V121">
        <v>4</v>
      </c>
      <c r="W121">
        <v>1</v>
      </c>
      <c r="X121">
        <v>10</v>
      </c>
      <c r="Y121">
        <v>25</v>
      </c>
      <c r="Z121">
        <f t="shared" si="68"/>
        <v>1</v>
      </c>
      <c r="AA121">
        <f t="shared" si="69"/>
        <v>4</v>
      </c>
      <c r="AB121">
        <f t="shared" si="70"/>
        <v>25</v>
      </c>
      <c r="AC121">
        <f t="shared" si="71"/>
        <v>10</v>
      </c>
      <c r="AD121">
        <v>1</v>
      </c>
      <c r="AE121">
        <v>3</v>
      </c>
      <c r="AF121" t="s">
        <v>55</v>
      </c>
      <c r="AG121">
        <v>0</v>
      </c>
      <c r="AH121">
        <f t="shared" si="72"/>
        <v>1</v>
      </c>
      <c r="AI121">
        <f t="shared" si="73"/>
        <v>0</v>
      </c>
      <c r="AJ121">
        <v>1</v>
      </c>
      <c r="AK121">
        <v>0</v>
      </c>
      <c r="AL121">
        <f t="shared" si="74"/>
        <v>0</v>
      </c>
      <c r="AM121">
        <f t="shared" si="75"/>
        <v>0</v>
      </c>
      <c r="AN121">
        <v>0</v>
      </c>
      <c r="AO121" t="s">
        <v>51</v>
      </c>
      <c r="AP121">
        <f t="shared" si="76"/>
        <v>1</v>
      </c>
      <c r="AQ121">
        <f t="shared" si="77"/>
        <v>0</v>
      </c>
      <c r="AR121" t="str">
        <f t="shared" si="78"/>
        <v>Victoria</v>
      </c>
      <c r="AS121" s="3" t="str">
        <f t="shared" si="79"/>
        <v>Victoria ajustada</v>
      </c>
    </row>
    <row r="122" spans="1:45" x14ac:dyDescent="0.3">
      <c r="A122" t="s">
        <v>272</v>
      </c>
      <c r="B122">
        <f t="shared" si="60"/>
        <v>2023</v>
      </c>
      <c r="C122" t="str">
        <f t="shared" si="61"/>
        <v>Oct</v>
      </c>
      <c r="D122" t="str" cm="1">
        <f t="array" ref="D122">_xlfn.IFS(OR(C122="Dec", C122="Jan", C122="Feb"), "Invierno", OR(C122="Mar", C122="Apr", C122="May"), "Primavera", OR(C122="Jun", C122="Jul", C122="Aug"), "Verano", OR(C122="Sep", C122="Oct", C122="Nov"), "Otoño")</f>
        <v>Otoño</v>
      </c>
      <c r="E122" t="s">
        <v>22</v>
      </c>
      <c r="F122" t="s">
        <v>38</v>
      </c>
      <c r="G122" t="s">
        <v>351</v>
      </c>
      <c r="H122" t="s">
        <v>25</v>
      </c>
      <c r="I122" t="s">
        <v>64</v>
      </c>
      <c r="J122">
        <v>15</v>
      </c>
      <c r="K122">
        <v>5</v>
      </c>
      <c r="L122">
        <f t="shared" si="62"/>
        <v>15</v>
      </c>
      <c r="M122">
        <f t="shared" si="63"/>
        <v>5</v>
      </c>
      <c r="N122">
        <v>3</v>
      </c>
      <c r="O122">
        <v>2</v>
      </c>
      <c r="P122">
        <f t="shared" si="64"/>
        <v>3</v>
      </c>
      <c r="Q122">
        <f t="shared" si="65"/>
        <v>2</v>
      </c>
      <c r="R122">
        <v>52</v>
      </c>
      <c r="S122">
        <v>48</v>
      </c>
      <c r="T122" s="10">
        <f t="shared" si="66"/>
        <v>52</v>
      </c>
      <c r="U122">
        <f t="shared" si="67"/>
        <v>48</v>
      </c>
      <c r="V122">
        <v>5</v>
      </c>
      <c r="W122">
        <v>2</v>
      </c>
      <c r="X122">
        <v>13</v>
      </c>
      <c r="Y122">
        <v>7</v>
      </c>
      <c r="Z122">
        <f t="shared" si="68"/>
        <v>5</v>
      </c>
      <c r="AA122">
        <f t="shared" si="69"/>
        <v>2</v>
      </c>
      <c r="AB122">
        <f t="shared" si="70"/>
        <v>13</v>
      </c>
      <c r="AC122">
        <f t="shared" si="71"/>
        <v>7</v>
      </c>
      <c r="AD122">
        <v>0</v>
      </c>
      <c r="AE122">
        <v>1</v>
      </c>
      <c r="AF122" t="s">
        <v>89</v>
      </c>
      <c r="AG122">
        <v>0</v>
      </c>
      <c r="AH122">
        <f t="shared" si="72"/>
        <v>0</v>
      </c>
      <c r="AI122">
        <f t="shared" si="73"/>
        <v>0</v>
      </c>
      <c r="AJ122">
        <v>0</v>
      </c>
      <c r="AK122">
        <v>0</v>
      </c>
      <c r="AL122">
        <f t="shared" si="74"/>
        <v>0</v>
      </c>
      <c r="AM122">
        <f t="shared" si="75"/>
        <v>0</v>
      </c>
      <c r="AN122">
        <v>0</v>
      </c>
      <c r="AO122" t="s">
        <v>135</v>
      </c>
      <c r="AP122">
        <f t="shared" si="76"/>
        <v>0</v>
      </c>
      <c r="AQ122">
        <f t="shared" si="77"/>
        <v>0</v>
      </c>
      <c r="AR122" t="str">
        <f t="shared" si="78"/>
        <v>Empate</v>
      </c>
      <c r="AS122" s="3" t="str">
        <f t="shared" si="79"/>
        <v>Empate</v>
      </c>
    </row>
    <row r="123" spans="1:45" x14ac:dyDescent="0.3">
      <c r="A123" t="s">
        <v>273</v>
      </c>
      <c r="B123">
        <f t="shared" si="60"/>
        <v>2023</v>
      </c>
      <c r="C123" t="str">
        <f t="shared" si="61"/>
        <v>Oct</v>
      </c>
      <c r="D123" t="str" cm="1">
        <f t="array" ref="D123">_xlfn.IFS(OR(C123="Dec", C123="Jan", C123="Feb"), "Invierno", OR(C123="Mar", C123="Apr", C123="May"), "Primavera", OR(C123="Jun", C123="Jul", C123="Aug"), "Verano", OR(C123="Sep", C123="Oct", C123="Nov"), "Otoño")</f>
        <v>Otoño</v>
      </c>
      <c r="E123" t="s">
        <v>30</v>
      </c>
      <c r="F123" t="s">
        <v>23</v>
      </c>
      <c r="G123" t="s">
        <v>24</v>
      </c>
      <c r="H123" t="s">
        <v>32</v>
      </c>
      <c r="I123" t="s">
        <v>129</v>
      </c>
      <c r="J123">
        <v>12</v>
      </c>
      <c r="K123">
        <v>12</v>
      </c>
      <c r="L123">
        <f t="shared" si="62"/>
        <v>12</v>
      </c>
      <c r="M123">
        <f t="shared" si="63"/>
        <v>12</v>
      </c>
      <c r="N123">
        <v>2</v>
      </c>
      <c r="O123">
        <v>2</v>
      </c>
      <c r="P123">
        <f t="shared" si="64"/>
        <v>2</v>
      </c>
      <c r="Q123">
        <f t="shared" si="65"/>
        <v>2</v>
      </c>
      <c r="R123">
        <v>46</v>
      </c>
      <c r="S123">
        <v>54</v>
      </c>
      <c r="T123" s="10">
        <f t="shared" si="66"/>
        <v>54</v>
      </c>
      <c r="U123">
        <f t="shared" si="67"/>
        <v>46</v>
      </c>
      <c r="V123">
        <v>4</v>
      </c>
      <c r="W123">
        <v>6</v>
      </c>
      <c r="X123">
        <v>7</v>
      </c>
      <c r="Y123">
        <v>10</v>
      </c>
      <c r="Z123">
        <f t="shared" si="68"/>
        <v>6</v>
      </c>
      <c r="AA123">
        <f t="shared" si="69"/>
        <v>4</v>
      </c>
      <c r="AB123">
        <f t="shared" si="70"/>
        <v>10</v>
      </c>
      <c r="AC123">
        <f t="shared" si="71"/>
        <v>7</v>
      </c>
      <c r="AD123">
        <v>3</v>
      </c>
      <c r="AE123">
        <v>2</v>
      </c>
      <c r="AF123" t="s">
        <v>134</v>
      </c>
      <c r="AG123">
        <v>2</v>
      </c>
      <c r="AH123">
        <f t="shared" si="72"/>
        <v>1</v>
      </c>
      <c r="AI123">
        <f t="shared" si="73"/>
        <v>2</v>
      </c>
      <c r="AJ123">
        <v>1</v>
      </c>
      <c r="AK123">
        <v>1</v>
      </c>
      <c r="AL123">
        <f t="shared" si="74"/>
        <v>1</v>
      </c>
      <c r="AM123">
        <f t="shared" si="75"/>
        <v>1</v>
      </c>
      <c r="AN123">
        <v>1</v>
      </c>
      <c r="AO123" t="s">
        <v>97</v>
      </c>
      <c r="AP123">
        <f t="shared" si="76"/>
        <v>2</v>
      </c>
      <c r="AQ123">
        <f t="shared" si="77"/>
        <v>3</v>
      </c>
      <c r="AR123" t="str">
        <f t="shared" si="78"/>
        <v>Derrota</v>
      </c>
      <c r="AS123" s="3" t="str">
        <f t="shared" si="79"/>
        <v>Derrota ajustada</v>
      </c>
    </row>
    <row r="124" spans="1:45" x14ac:dyDescent="0.3">
      <c r="A124" t="s">
        <v>274</v>
      </c>
      <c r="B124">
        <f t="shared" si="60"/>
        <v>2023</v>
      </c>
      <c r="C124" t="str">
        <f t="shared" si="61"/>
        <v>Oct</v>
      </c>
      <c r="D124" t="str" cm="1">
        <f t="array" ref="D124">_xlfn.IFS(OR(C124="Dec", C124="Jan", C124="Feb"), "Invierno", OR(C124="Mar", C124="Apr", C124="May"), "Primavera", OR(C124="Jun", C124="Jul", C124="Aug"), "Verano", OR(C124="Sep", C124="Oct", C124="Nov"), "Otoño")</f>
        <v>Otoño</v>
      </c>
      <c r="E124" t="s">
        <v>62</v>
      </c>
      <c r="F124" t="s">
        <v>38</v>
      </c>
      <c r="G124" t="s">
        <v>102</v>
      </c>
      <c r="H124" t="s">
        <v>25</v>
      </c>
      <c r="I124" t="s">
        <v>150</v>
      </c>
      <c r="J124">
        <v>13</v>
      </c>
      <c r="K124">
        <v>15</v>
      </c>
      <c r="L124">
        <f t="shared" si="62"/>
        <v>13</v>
      </c>
      <c r="M124">
        <f t="shared" si="63"/>
        <v>15</v>
      </c>
      <c r="N124">
        <v>4</v>
      </c>
      <c r="O124">
        <v>6</v>
      </c>
      <c r="P124">
        <f t="shared" si="64"/>
        <v>4</v>
      </c>
      <c r="Q124">
        <f t="shared" si="65"/>
        <v>6</v>
      </c>
      <c r="R124">
        <v>57</v>
      </c>
      <c r="S124">
        <v>43</v>
      </c>
      <c r="T124" s="10">
        <f t="shared" si="66"/>
        <v>57</v>
      </c>
      <c r="U124">
        <f t="shared" si="67"/>
        <v>43</v>
      </c>
      <c r="V124">
        <v>8</v>
      </c>
      <c r="W124">
        <v>4</v>
      </c>
      <c r="X124">
        <v>17</v>
      </c>
      <c r="Y124">
        <v>9</v>
      </c>
      <c r="Z124">
        <f t="shared" si="68"/>
        <v>8</v>
      </c>
      <c r="AA124">
        <f t="shared" si="69"/>
        <v>4</v>
      </c>
      <c r="AB124">
        <f t="shared" si="70"/>
        <v>17</v>
      </c>
      <c r="AC124">
        <f t="shared" si="71"/>
        <v>9</v>
      </c>
      <c r="AD124">
        <v>1</v>
      </c>
      <c r="AE124">
        <v>1</v>
      </c>
      <c r="AF124" t="s">
        <v>103</v>
      </c>
      <c r="AG124">
        <v>0</v>
      </c>
      <c r="AH124">
        <f t="shared" si="72"/>
        <v>0</v>
      </c>
      <c r="AI124">
        <f t="shared" si="73"/>
        <v>0</v>
      </c>
      <c r="AJ124">
        <v>0</v>
      </c>
      <c r="AK124">
        <v>2</v>
      </c>
      <c r="AL124">
        <f t="shared" si="74"/>
        <v>2</v>
      </c>
      <c r="AM124">
        <f t="shared" si="75"/>
        <v>0</v>
      </c>
      <c r="AN124">
        <v>0</v>
      </c>
      <c r="AO124" t="s">
        <v>171</v>
      </c>
      <c r="AP124">
        <f t="shared" si="76"/>
        <v>2</v>
      </c>
      <c r="AQ124">
        <f t="shared" si="77"/>
        <v>0</v>
      </c>
      <c r="AR124" t="str">
        <f t="shared" si="78"/>
        <v>Victoria</v>
      </c>
      <c r="AS124" s="3" t="str">
        <f t="shared" si="79"/>
        <v>Victoria dominante</v>
      </c>
    </row>
    <row r="125" spans="1:45" x14ac:dyDescent="0.3">
      <c r="A125" t="s">
        <v>275</v>
      </c>
      <c r="B125">
        <f t="shared" si="60"/>
        <v>2023</v>
      </c>
      <c r="C125" t="str">
        <f t="shared" si="61"/>
        <v>Oct</v>
      </c>
      <c r="D125" t="str" cm="1">
        <f t="array" ref="D125">_xlfn.IFS(OR(C125="Dec", C125="Jan", C125="Feb"), "Invierno", OR(C125="Mar", C125="Apr", C125="May"), "Primavera", OR(C125="Jun", C125="Jul", C125="Aug"), "Verano", OR(C125="Sep", C125="Oct", C125="Nov"), "Otoño")</f>
        <v>Otoño</v>
      </c>
      <c r="E125" t="s">
        <v>80</v>
      </c>
      <c r="F125" t="s">
        <v>23</v>
      </c>
      <c r="G125" t="s">
        <v>166</v>
      </c>
      <c r="H125" t="s">
        <v>32</v>
      </c>
      <c r="I125" t="s">
        <v>106</v>
      </c>
      <c r="J125">
        <v>9</v>
      </c>
      <c r="K125">
        <v>18</v>
      </c>
      <c r="L125">
        <f t="shared" si="62"/>
        <v>18</v>
      </c>
      <c r="M125">
        <f t="shared" si="63"/>
        <v>9</v>
      </c>
      <c r="N125">
        <v>3</v>
      </c>
      <c r="O125">
        <v>2</v>
      </c>
      <c r="P125">
        <f t="shared" si="64"/>
        <v>2</v>
      </c>
      <c r="Q125">
        <f t="shared" si="65"/>
        <v>3</v>
      </c>
      <c r="R125">
        <v>43</v>
      </c>
      <c r="S125">
        <v>57</v>
      </c>
      <c r="T125" s="10">
        <f t="shared" si="66"/>
        <v>57</v>
      </c>
      <c r="U125">
        <f t="shared" si="67"/>
        <v>43</v>
      </c>
      <c r="V125">
        <v>3</v>
      </c>
      <c r="W125">
        <v>6</v>
      </c>
      <c r="X125">
        <v>10</v>
      </c>
      <c r="Y125">
        <v>13</v>
      </c>
      <c r="Z125">
        <f t="shared" si="68"/>
        <v>6</v>
      </c>
      <c r="AA125">
        <f t="shared" si="69"/>
        <v>3</v>
      </c>
      <c r="AB125">
        <f t="shared" si="70"/>
        <v>13</v>
      </c>
      <c r="AC125">
        <f t="shared" si="71"/>
        <v>10</v>
      </c>
      <c r="AD125">
        <v>3</v>
      </c>
      <c r="AE125">
        <v>1</v>
      </c>
      <c r="AF125" t="s">
        <v>276</v>
      </c>
      <c r="AG125">
        <v>0</v>
      </c>
      <c r="AH125">
        <f t="shared" si="72"/>
        <v>2</v>
      </c>
      <c r="AI125">
        <f t="shared" si="73"/>
        <v>0</v>
      </c>
      <c r="AJ125">
        <v>2</v>
      </c>
      <c r="AK125">
        <v>0</v>
      </c>
      <c r="AL125">
        <f t="shared" si="74"/>
        <v>1</v>
      </c>
      <c r="AM125">
        <f t="shared" si="75"/>
        <v>0</v>
      </c>
      <c r="AN125">
        <v>1</v>
      </c>
      <c r="AO125" t="s">
        <v>78</v>
      </c>
      <c r="AP125">
        <f t="shared" si="76"/>
        <v>3</v>
      </c>
      <c r="AQ125">
        <f t="shared" si="77"/>
        <v>0</v>
      </c>
      <c r="AR125" t="str">
        <f t="shared" si="78"/>
        <v>Victoria</v>
      </c>
      <c r="AS125" s="3" t="str">
        <f t="shared" si="79"/>
        <v>Victoria dominante</v>
      </c>
    </row>
    <row r="126" spans="1:45" x14ac:dyDescent="0.3">
      <c r="A126" t="s">
        <v>277</v>
      </c>
      <c r="B126">
        <f t="shared" si="60"/>
        <v>2023</v>
      </c>
      <c r="C126" t="str">
        <f t="shared" si="61"/>
        <v>Nov</v>
      </c>
      <c r="D126" t="str" cm="1">
        <f t="array" ref="D126">_xlfn.IFS(OR(C126="Dec", C126="Jan", C126="Feb"), "Invierno", OR(C126="Mar", C126="Apr", C126="May"), "Primavera", OR(C126="Jun", C126="Jul", C126="Aug"), "Verano", OR(C126="Sep", C126="Oct", C126="Nov"), "Otoño")</f>
        <v>Otoño</v>
      </c>
      <c r="E126" t="s">
        <v>62</v>
      </c>
      <c r="F126" t="s">
        <v>38</v>
      </c>
      <c r="G126" t="s">
        <v>58</v>
      </c>
      <c r="H126" t="s">
        <v>25</v>
      </c>
      <c r="I126" t="s">
        <v>54</v>
      </c>
      <c r="J126">
        <v>14</v>
      </c>
      <c r="K126">
        <v>10</v>
      </c>
      <c r="L126">
        <f t="shared" si="62"/>
        <v>14</v>
      </c>
      <c r="M126">
        <f t="shared" si="63"/>
        <v>10</v>
      </c>
      <c r="N126">
        <v>2</v>
      </c>
      <c r="O126">
        <v>3</v>
      </c>
      <c r="P126">
        <f t="shared" si="64"/>
        <v>2</v>
      </c>
      <c r="Q126">
        <f t="shared" si="65"/>
        <v>3</v>
      </c>
      <c r="R126">
        <v>54</v>
      </c>
      <c r="S126">
        <v>46</v>
      </c>
      <c r="T126" s="10">
        <f t="shared" si="66"/>
        <v>54</v>
      </c>
      <c r="U126">
        <f t="shared" si="67"/>
        <v>46</v>
      </c>
      <c r="V126">
        <v>6</v>
      </c>
      <c r="W126">
        <v>1</v>
      </c>
      <c r="X126">
        <v>13</v>
      </c>
      <c r="Y126">
        <v>9</v>
      </c>
      <c r="Z126">
        <f t="shared" si="68"/>
        <v>6</v>
      </c>
      <c r="AA126">
        <f t="shared" si="69"/>
        <v>1</v>
      </c>
      <c r="AB126">
        <f t="shared" si="70"/>
        <v>13</v>
      </c>
      <c r="AC126">
        <f t="shared" si="71"/>
        <v>9</v>
      </c>
      <c r="AD126">
        <v>2</v>
      </c>
      <c r="AE126">
        <v>2</v>
      </c>
      <c r="AF126" t="s">
        <v>119</v>
      </c>
      <c r="AG126">
        <v>0</v>
      </c>
      <c r="AH126">
        <f t="shared" si="72"/>
        <v>0</v>
      </c>
      <c r="AI126">
        <f t="shared" si="73"/>
        <v>1</v>
      </c>
      <c r="AJ126">
        <v>1</v>
      </c>
      <c r="AK126">
        <v>1</v>
      </c>
      <c r="AL126">
        <f t="shared" si="74"/>
        <v>1</v>
      </c>
      <c r="AM126">
        <f t="shared" si="75"/>
        <v>1</v>
      </c>
      <c r="AN126">
        <v>1</v>
      </c>
      <c r="AO126" t="s">
        <v>107</v>
      </c>
      <c r="AP126">
        <f t="shared" si="76"/>
        <v>1</v>
      </c>
      <c r="AQ126">
        <f t="shared" si="77"/>
        <v>2</v>
      </c>
      <c r="AR126" t="str">
        <f t="shared" si="78"/>
        <v>Derrota</v>
      </c>
      <c r="AS126" s="3" t="str">
        <f t="shared" si="79"/>
        <v>Derrota ajustada</v>
      </c>
    </row>
    <row r="127" spans="1:45" x14ac:dyDescent="0.3">
      <c r="A127" t="s">
        <v>278</v>
      </c>
      <c r="B127">
        <f t="shared" si="60"/>
        <v>2023</v>
      </c>
      <c r="C127" t="str">
        <f t="shared" si="61"/>
        <v>Nov</v>
      </c>
      <c r="D127" t="str" cm="1">
        <f t="array" ref="D127">_xlfn.IFS(OR(C127="Dec", C127="Jan", C127="Feb"), "Invierno", OR(C127="Mar", C127="Apr", C127="May"), "Primavera", OR(C127="Jun", C127="Jul", C127="Aug"), "Verano", OR(C127="Sep", C127="Oct", C127="Nov"), "Otoño")</f>
        <v>Otoño</v>
      </c>
      <c r="E127" t="s">
        <v>30</v>
      </c>
      <c r="F127" t="s">
        <v>23</v>
      </c>
      <c r="G127" t="s">
        <v>73</v>
      </c>
      <c r="H127" t="s">
        <v>25</v>
      </c>
      <c r="I127" t="s">
        <v>59</v>
      </c>
      <c r="J127">
        <v>13</v>
      </c>
      <c r="K127">
        <v>8</v>
      </c>
      <c r="L127">
        <f t="shared" si="62"/>
        <v>8</v>
      </c>
      <c r="M127">
        <f t="shared" si="63"/>
        <v>13</v>
      </c>
      <c r="N127">
        <v>1</v>
      </c>
      <c r="O127">
        <v>3</v>
      </c>
      <c r="P127">
        <f t="shared" si="64"/>
        <v>3</v>
      </c>
      <c r="Q127">
        <f t="shared" si="65"/>
        <v>1</v>
      </c>
      <c r="R127">
        <v>34</v>
      </c>
      <c r="S127">
        <v>66</v>
      </c>
      <c r="T127" s="10">
        <f t="shared" si="66"/>
        <v>66</v>
      </c>
      <c r="U127">
        <f t="shared" si="67"/>
        <v>34</v>
      </c>
      <c r="V127">
        <v>7</v>
      </c>
      <c r="W127">
        <v>7</v>
      </c>
      <c r="X127">
        <v>13</v>
      </c>
      <c r="Y127">
        <v>13</v>
      </c>
      <c r="Z127">
        <f t="shared" si="68"/>
        <v>7</v>
      </c>
      <c r="AA127">
        <f t="shared" si="69"/>
        <v>7</v>
      </c>
      <c r="AB127">
        <f t="shared" si="70"/>
        <v>13</v>
      </c>
      <c r="AC127">
        <f t="shared" si="71"/>
        <v>13</v>
      </c>
      <c r="AD127">
        <v>2</v>
      </c>
      <c r="AE127">
        <v>2</v>
      </c>
      <c r="AF127" t="s">
        <v>239</v>
      </c>
      <c r="AG127">
        <v>1</v>
      </c>
      <c r="AH127">
        <f t="shared" si="72"/>
        <v>0</v>
      </c>
      <c r="AI127">
        <f t="shared" si="73"/>
        <v>1</v>
      </c>
      <c r="AJ127">
        <v>0</v>
      </c>
      <c r="AK127">
        <v>0</v>
      </c>
      <c r="AL127">
        <f t="shared" si="74"/>
        <v>1</v>
      </c>
      <c r="AM127">
        <f t="shared" si="75"/>
        <v>0</v>
      </c>
      <c r="AN127">
        <v>1</v>
      </c>
      <c r="AO127" t="s">
        <v>97</v>
      </c>
      <c r="AP127">
        <f t="shared" si="76"/>
        <v>1</v>
      </c>
      <c r="AQ127">
        <f t="shared" si="77"/>
        <v>1</v>
      </c>
      <c r="AR127" t="str">
        <f t="shared" si="78"/>
        <v>Empate</v>
      </c>
      <c r="AS127" s="3" t="str">
        <f t="shared" si="79"/>
        <v>Empate</v>
      </c>
    </row>
    <row r="128" spans="1:45" x14ac:dyDescent="0.3">
      <c r="A128" t="s">
        <v>279</v>
      </c>
      <c r="B128">
        <f t="shared" si="60"/>
        <v>2023</v>
      </c>
      <c r="C128" t="str">
        <f t="shared" si="61"/>
        <v>Nov</v>
      </c>
      <c r="D128" t="str" cm="1">
        <f t="array" ref="D128">_xlfn.IFS(OR(C128="Dec", C128="Jan", C128="Feb"), "Invierno", OR(C128="Mar", C128="Apr", C128="May"), "Primavera", OR(C128="Jun", C128="Jul", C128="Aug"), "Verano", OR(C128="Sep", C128="Oct", C128="Nov"), "Otoño")</f>
        <v>Otoño</v>
      </c>
      <c r="E128" t="s">
        <v>62</v>
      </c>
      <c r="F128" t="s">
        <v>38</v>
      </c>
      <c r="G128" t="s">
        <v>44</v>
      </c>
      <c r="H128" t="s">
        <v>32</v>
      </c>
      <c r="I128" t="s">
        <v>54</v>
      </c>
      <c r="J128">
        <v>0</v>
      </c>
      <c r="K128">
        <v>0</v>
      </c>
      <c r="L128">
        <f t="shared" si="62"/>
        <v>0</v>
      </c>
      <c r="M128">
        <f t="shared" si="63"/>
        <v>0</v>
      </c>
      <c r="N128">
        <v>0</v>
      </c>
      <c r="O128">
        <v>0</v>
      </c>
      <c r="P128">
        <f t="shared" si="64"/>
        <v>0</v>
      </c>
      <c r="Q128">
        <f t="shared" si="65"/>
        <v>0</v>
      </c>
      <c r="R128">
        <v>0</v>
      </c>
      <c r="S128">
        <v>0</v>
      </c>
      <c r="T128" s="10">
        <f t="shared" si="66"/>
        <v>0</v>
      </c>
      <c r="U128">
        <f t="shared" si="67"/>
        <v>0</v>
      </c>
      <c r="V128">
        <v>0</v>
      </c>
      <c r="W128">
        <v>0</v>
      </c>
      <c r="X128">
        <v>0</v>
      </c>
      <c r="Y128">
        <v>0</v>
      </c>
      <c r="Z128">
        <f t="shared" si="68"/>
        <v>0</v>
      </c>
      <c r="AA128">
        <f t="shared" si="69"/>
        <v>0</v>
      </c>
      <c r="AB128">
        <f t="shared" si="70"/>
        <v>0</v>
      </c>
      <c r="AC128">
        <f t="shared" si="71"/>
        <v>0</v>
      </c>
      <c r="AD128">
        <v>0</v>
      </c>
      <c r="AE128">
        <v>0</v>
      </c>
      <c r="AF128" t="s">
        <v>334</v>
      </c>
      <c r="AG128">
        <v>0</v>
      </c>
      <c r="AH128">
        <f t="shared" si="72"/>
        <v>0</v>
      </c>
      <c r="AI128">
        <f t="shared" si="73"/>
        <v>0</v>
      </c>
      <c r="AJ128">
        <v>0</v>
      </c>
      <c r="AK128">
        <v>1</v>
      </c>
      <c r="AL128">
        <f t="shared" si="74"/>
        <v>1</v>
      </c>
      <c r="AM128">
        <f t="shared" si="75"/>
        <v>2</v>
      </c>
      <c r="AN128">
        <v>2</v>
      </c>
      <c r="AO128" t="s">
        <v>81</v>
      </c>
      <c r="AP128">
        <f t="shared" si="76"/>
        <v>1</v>
      </c>
      <c r="AQ128">
        <f t="shared" si="77"/>
        <v>2</v>
      </c>
      <c r="AR128" t="str">
        <f t="shared" si="78"/>
        <v>Derrota</v>
      </c>
      <c r="AS128" s="3" t="str">
        <f t="shared" si="79"/>
        <v>Derrota ajustada</v>
      </c>
    </row>
    <row r="129" spans="1:45" x14ac:dyDescent="0.3">
      <c r="A129" t="s">
        <v>280</v>
      </c>
      <c r="B129">
        <f t="shared" si="60"/>
        <v>2023</v>
      </c>
      <c r="C129" t="str">
        <f t="shared" si="61"/>
        <v>Dec</v>
      </c>
      <c r="D129" t="str" cm="1">
        <f t="array" ref="D129">_xlfn.IFS(OR(C129="Dec", C129="Jan", C129="Feb"), "Invierno", OR(C129="Mar", C129="Apr", C129="May"), "Primavera", OR(C129="Jun", C129="Jul", C129="Aug"), "Verano", OR(C129="Sep", C129="Oct", C129="Nov"), "Otoño")</f>
        <v>Invierno</v>
      </c>
      <c r="E129" t="s">
        <v>22</v>
      </c>
      <c r="F129" t="s">
        <v>23</v>
      </c>
      <c r="G129" t="s">
        <v>31</v>
      </c>
      <c r="H129" t="s">
        <v>25</v>
      </c>
      <c r="I129" t="s">
        <v>76</v>
      </c>
      <c r="J129">
        <v>9</v>
      </c>
      <c r="K129">
        <v>10</v>
      </c>
      <c r="L129">
        <f t="shared" si="62"/>
        <v>10</v>
      </c>
      <c r="M129">
        <f t="shared" si="63"/>
        <v>9</v>
      </c>
      <c r="N129">
        <v>4</v>
      </c>
      <c r="O129">
        <v>2</v>
      </c>
      <c r="P129">
        <f t="shared" si="64"/>
        <v>2</v>
      </c>
      <c r="Q129">
        <f t="shared" si="65"/>
        <v>4</v>
      </c>
      <c r="R129">
        <v>54</v>
      </c>
      <c r="S129">
        <v>46</v>
      </c>
      <c r="T129" s="10">
        <f t="shared" si="66"/>
        <v>46</v>
      </c>
      <c r="U129">
        <f t="shared" si="67"/>
        <v>54</v>
      </c>
      <c r="V129">
        <v>4</v>
      </c>
      <c r="W129">
        <v>3</v>
      </c>
      <c r="X129">
        <v>12</v>
      </c>
      <c r="Y129">
        <v>14</v>
      </c>
      <c r="Z129">
        <f t="shared" si="68"/>
        <v>3</v>
      </c>
      <c r="AA129">
        <f t="shared" si="69"/>
        <v>4</v>
      </c>
      <c r="AB129">
        <f t="shared" si="70"/>
        <v>14</v>
      </c>
      <c r="AC129">
        <f t="shared" si="71"/>
        <v>12</v>
      </c>
      <c r="AD129">
        <v>2</v>
      </c>
      <c r="AE129">
        <v>1</v>
      </c>
      <c r="AF129" t="s">
        <v>114</v>
      </c>
      <c r="AG129">
        <v>1</v>
      </c>
      <c r="AH129">
        <f t="shared" si="72"/>
        <v>0</v>
      </c>
      <c r="AI129">
        <f t="shared" si="73"/>
        <v>1</v>
      </c>
      <c r="AJ129">
        <v>0</v>
      </c>
      <c r="AK129">
        <v>2</v>
      </c>
      <c r="AL129">
        <f t="shared" si="74"/>
        <v>0</v>
      </c>
      <c r="AM129">
        <f t="shared" si="75"/>
        <v>2</v>
      </c>
      <c r="AN129">
        <v>0</v>
      </c>
      <c r="AO129" t="s">
        <v>35</v>
      </c>
      <c r="AP129">
        <f t="shared" si="76"/>
        <v>0</v>
      </c>
      <c r="AQ129">
        <f t="shared" si="77"/>
        <v>3</v>
      </c>
      <c r="AR129" t="str">
        <f t="shared" si="78"/>
        <v>Derrota</v>
      </c>
      <c r="AS129" s="3" t="str">
        <f t="shared" si="79"/>
        <v>Derrota ajustada</v>
      </c>
    </row>
    <row r="130" spans="1:45" x14ac:dyDescent="0.3">
      <c r="A130" t="s">
        <v>281</v>
      </c>
      <c r="B130">
        <f t="shared" ref="B130:B161" si="80">VALUE(RIGHT(A130,4))</f>
        <v>2023</v>
      </c>
      <c r="C130" t="str">
        <f t="shared" ref="C130:C161" si="81">MID(A130,5,3)</f>
        <v>Dec</v>
      </c>
      <c r="D130" t="str" cm="1">
        <f t="array" ref="D130">_xlfn.IFS(OR(C130="Dec", C130="Jan", C130="Feb"), "Invierno", OR(C130="Mar", C130="Apr", C130="May"), "Primavera", OR(C130="Jun", C130="Jul", C130="Aug"), "Verano", OR(C130="Sep", C130="Oct", C130="Nov"), "Otoño")</f>
        <v>Invierno</v>
      </c>
      <c r="E130" t="s">
        <v>62</v>
      </c>
      <c r="F130" t="s">
        <v>38</v>
      </c>
      <c r="G130" t="s">
        <v>105</v>
      </c>
      <c r="H130" t="s">
        <v>32</v>
      </c>
      <c r="I130" t="s">
        <v>129</v>
      </c>
      <c r="J130">
        <v>19</v>
      </c>
      <c r="K130">
        <v>14</v>
      </c>
      <c r="L130">
        <f t="shared" ref="L130:L161" si="82">IF(F130 = "H", J130, IF(F130 = "A", K130))</f>
        <v>19</v>
      </c>
      <c r="M130">
        <f t="shared" ref="M130:M161" si="83">IF(F130 = "A", J130, IF(F130 = "H", K130))</f>
        <v>14</v>
      </c>
      <c r="N130">
        <v>1</v>
      </c>
      <c r="O130">
        <v>4</v>
      </c>
      <c r="P130">
        <f t="shared" ref="P130:P161" si="84">IF(F130 = "H", N130, IF(F130 = "A", O130,0))</f>
        <v>1</v>
      </c>
      <c r="Q130">
        <f t="shared" ref="Q130:Q161" si="85">IF(F130 = "A", N130, IF(F130 = "H", O130))</f>
        <v>4</v>
      </c>
      <c r="R130">
        <v>42</v>
      </c>
      <c r="S130">
        <v>58</v>
      </c>
      <c r="T130" s="10">
        <f t="shared" ref="T130:T161" si="86">IF(F130 = "H", R130, IF(F130 ="A", S130,0))</f>
        <v>42</v>
      </c>
      <c r="U130">
        <f t="shared" ref="U130:U161" si="87">IF(F130 = "A", R130, IF(F130 = "H", S130))</f>
        <v>58</v>
      </c>
      <c r="V130">
        <v>6</v>
      </c>
      <c r="W130">
        <v>4</v>
      </c>
      <c r="X130">
        <v>11</v>
      </c>
      <c r="Y130">
        <v>11</v>
      </c>
      <c r="Z130">
        <f t="shared" ref="Z130:Z161" si="88">IF(F130 = "H", V130, IF(F130 = "A", W130))</f>
        <v>6</v>
      </c>
      <c r="AA130">
        <f t="shared" ref="AA130:AA161" si="89">IF(F130 = "A", V130, IF(F130 = "H", W130))</f>
        <v>4</v>
      </c>
      <c r="AB130">
        <f t="shared" ref="AB130:AB161" si="90">IF(F130 = "H", X130, IF(F130= "A", Y130, 0))</f>
        <v>11</v>
      </c>
      <c r="AC130">
        <f t="shared" ref="AC130:AC161" si="91">IF(F130 = "A", X130, IF(F130 = "H", Y130, 0))</f>
        <v>11</v>
      </c>
      <c r="AD130">
        <v>1</v>
      </c>
      <c r="AE130">
        <v>1</v>
      </c>
      <c r="AF130" t="s">
        <v>282</v>
      </c>
      <c r="AG130">
        <v>1</v>
      </c>
      <c r="AH130">
        <f t="shared" ref="AH130:AH161" si="92">IF(F130 = "H", AG130, IF(F130 ="A", AJ130,0))</f>
        <v>1</v>
      </c>
      <c r="AI130">
        <f t="shared" ref="AI130:AI161" si="93">IF(F130 = "A", AG130, IF(F130 ="H", AJ130,0))</f>
        <v>0</v>
      </c>
      <c r="AJ130">
        <v>0</v>
      </c>
      <c r="AK130">
        <v>2</v>
      </c>
      <c r="AL130">
        <f t="shared" ref="AL130:AL161" si="94">IF(F130 ="H", AK130, IF(F130 ="A", AN130,0))</f>
        <v>2</v>
      </c>
      <c r="AM130">
        <f t="shared" ref="AM130:AM161" si="95">IF(F130="A", AK130,IF(F130 ="H", AN130,0))</f>
        <v>2</v>
      </c>
      <c r="AN130">
        <v>2</v>
      </c>
      <c r="AO130" t="s">
        <v>135</v>
      </c>
      <c r="AP130">
        <f t="shared" ref="AP130:AP161" si="96">IF(F130="H", AG130+AK130, IF(F130="A", AJ130+AN130, 0))</f>
        <v>3</v>
      </c>
      <c r="AQ130">
        <f t="shared" ref="AQ130:AQ161" si="97">IF(F130="A", AG130+AK130, IF(F130="H", AJ130+AN130, 0))</f>
        <v>2</v>
      </c>
      <c r="AR130" t="str">
        <f t="shared" ref="AR130:AR161" si="98">IF(AP130&gt;AQ130,"Victoria",IF(AQ130&gt;AP130,"Derrota",IF(AQ130=AP130,"Empate")))</f>
        <v>Victoria</v>
      </c>
      <c r="AS130" s="3" t="str">
        <f t="shared" ref="AS130:AS161" si="99">IF(AP130&gt;AQ130,IF(AP130-AQ130&gt;1,"Victoria dominante","Victoria ajustada"),IF(AP130=AQ130,"Empate",IF(AP130-AQ130&lt;0,"Derrota ajustada","Derrota aplastante")))</f>
        <v>Victoria ajustada</v>
      </c>
    </row>
    <row r="131" spans="1:45" x14ac:dyDescent="0.3">
      <c r="A131" t="s">
        <v>283</v>
      </c>
      <c r="B131">
        <f t="shared" si="80"/>
        <v>2023</v>
      </c>
      <c r="C131" t="str">
        <f t="shared" si="81"/>
        <v>Dec</v>
      </c>
      <c r="D131" t="str" cm="1">
        <f t="array" ref="D131">_xlfn.IFS(OR(C131="Dec", C131="Jan", C131="Feb"), "Invierno", OR(C131="Mar", C131="Apr", C131="May"), "Primavera", OR(C131="Jun", C131="Jul", C131="Aug"), "Verano", OR(C131="Sep", C131="Oct", C131="Nov"), "Otoño")</f>
        <v>Invierno</v>
      </c>
      <c r="E131" t="s">
        <v>22</v>
      </c>
      <c r="F131" t="s">
        <v>38</v>
      </c>
      <c r="G131" t="s">
        <v>158</v>
      </c>
      <c r="H131" t="s">
        <v>32</v>
      </c>
      <c r="I131" t="s">
        <v>45</v>
      </c>
      <c r="J131">
        <v>20</v>
      </c>
      <c r="K131">
        <v>10</v>
      </c>
      <c r="L131">
        <f t="shared" si="82"/>
        <v>20</v>
      </c>
      <c r="M131">
        <f t="shared" si="83"/>
        <v>10</v>
      </c>
      <c r="N131">
        <v>2</v>
      </c>
      <c r="O131">
        <v>7</v>
      </c>
      <c r="P131">
        <f t="shared" si="84"/>
        <v>2</v>
      </c>
      <c r="Q131">
        <f t="shared" si="85"/>
        <v>7</v>
      </c>
      <c r="R131">
        <v>51</v>
      </c>
      <c r="S131">
        <v>49</v>
      </c>
      <c r="T131" s="10">
        <f t="shared" si="86"/>
        <v>51</v>
      </c>
      <c r="U131">
        <f t="shared" si="87"/>
        <v>49</v>
      </c>
      <c r="V131">
        <v>10</v>
      </c>
      <c r="W131">
        <v>7</v>
      </c>
      <c r="X131">
        <v>9</v>
      </c>
      <c r="Y131">
        <v>11</v>
      </c>
      <c r="Z131">
        <f t="shared" si="88"/>
        <v>10</v>
      </c>
      <c r="AA131">
        <f t="shared" si="89"/>
        <v>7</v>
      </c>
      <c r="AB131">
        <f t="shared" si="90"/>
        <v>9</v>
      </c>
      <c r="AC131">
        <f t="shared" si="91"/>
        <v>11</v>
      </c>
      <c r="AD131">
        <v>1</v>
      </c>
      <c r="AE131">
        <v>3</v>
      </c>
      <c r="AF131" t="s">
        <v>270</v>
      </c>
      <c r="AG131">
        <v>0</v>
      </c>
      <c r="AH131">
        <f t="shared" si="92"/>
        <v>0</v>
      </c>
      <c r="AI131">
        <f t="shared" si="93"/>
        <v>1</v>
      </c>
      <c r="AJ131">
        <v>1</v>
      </c>
      <c r="AK131">
        <v>4</v>
      </c>
      <c r="AL131">
        <f t="shared" si="94"/>
        <v>4</v>
      </c>
      <c r="AM131">
        <f t="shared" si="95"/>
        <v>0</v>
      </c>
      <c r="AN131">
        <v>0</v>
      </c>
      <c r="AO131" t="s">
        <v>56</v>
      </c>
      <c r="AP131">
        <f t="shared" si="96"/>
        <v>4</v>
      </c>
      <c r="AQ131">
        <f t="shared" si="97"/>
        <v>1</v>
      </c>
      <c r="AR131" t="str">
        <f t="shared" si="98"/>
        <v>Victoria</v>
      </c>
      <c r="AS131" s="3" t="str">
        <f t="shared" si="99"/>
        <v>Victoria dominante</v>
      </c>
    </row>
    <row r="132" spans="1:45" x14ac:dyDescent="0.3">
      <c r="A132" t="s">
        <v>284</v>
      </c>
      <c r="B132">
        <f t="shared" si="80"/>
        <v>2023</v>
      </c>
      <c r="C132" t="str">
        <f t="shared" si="81"/>
        <v>Dec</v>
      </c>
      <c r="D132" t="str" cm="1">
        <f t="array" ref="D132">_xlfn.IFS(OR(C132="Dec", C132="Jan", C132="Feb"), "Invierno", OR(C132="Mar", C132="Apr", C132="May"), "Primavera", OR(C132="Jun", C132="Jul", C132="Aug"), "Verano", OR(C132="Sep", C132="Oct", C132="Nov"), "Otoño")</f>
        <v>Invierno</v>
      </c>
      <c r="E132" t="s">
        <v>30</v>
      </c>
      <c r="F132" t="s">
        <v>23</v>
      </c>
      <c r="G132" t="s">
        <v>87</v>
      </c>
      <c r="H132" t="s">
        <v>32</v>
      </c>
      <c r="I132" t="s">
        <v>121</v>
      </c>
      <c r="J132">
        <v>9</v>
      </c>
      <c r="K132">
        <v>12</v>
      </c>
      <c r="L132">
        <f t="shared" si="82"/>
        <v>12</v>
      </c>
      <c r="M132">
        <f t="shared" si="83"/>
        <v>9</v>
      </c>
      <c r="N132">
        <v>2</v>
      </c>
      <c r="O132">
        <v>0</v>
      </c>
      <c r="P132">
        <f t="shared" si="84"/>
        <v>0</v>
      </c>
      <c r="Q132">
        <f t="shared" si="85"/>
        <v>2</v>
      </c>
      <c r="R132">
        <v>60</v>
      </c>
      <c r="S132">
        <v>40</v>
      </c>
      <c r="T132" s="10">
        <f t="shared" si="86"/>
        <v>40</v>
      </c>
      <c r="U132">
        <f t="shared" si="87"/>
        <v>60</v>
      </c>
      <c r="V132">
        <v>3</v>
      </c>
      <c r="W132">
        <v>5</v>
      </c>
      <c r="X132">
        <v>10</v>
      </c>
      <c r="Y132">
        <v>14</v>
      </c>
      <c r="Z132">
        <f t="shared" si="88"/>
        <v>5</v>
      </c>
      <c r="AA132">
        <f t="shared" si="89"/>
        <v>3</v>
      </c>
      <c r="AB132">
        <f t="shared" si="90"/>
        <v>14</v>
      </c>
      <c r="AC132">
        <f t="shared" si="91"/>
        <v>10</v>
      </c>
      <c r="AD132">
        <v>0</v>
      </c>
      <c r="AE132">
        <v>1</v>
      </c>
      <c r="AF132" t="s">
        <v>285</v>
      </c>
      <c r="AG132">
        <v>0</v>
      </c>
      <c r="AH132">
        <f t="shared" si="92"/>
        <v>0</v>
      </c>
      <c r="AI132">
        <f t="shared" si="93"/>
        <v>0</v>
      </c>
      <c r="AJ132">
        <v>0</v>
      </c>
      <c r="AK132">
        <v>1</v>
      </c>
      <c r="AL132">
        <f t="shared" si="94"/>
        <v>0</v>
      </c>
      <c r="AM132">
        <f t="shared" si="95"/>
        <v>1</v>
      </c>
      <c r="AN132">
        <v>0</v>
      </c>
      <c r="AO132" t="s">
        <v>81</v>
      </c>
      <c r="AP132">
        <f t="shared" si="96"/>
        <v>0</v>
      </c>
      <c r="AQ132">
        <f t="shared" si="97"/>
        <v>1</v>
      </c>
      <c r="AR132" t="str">
        <f t="shared" si="98"/>
        <v>Derrota</v>
      </c>
      <c r="AS132" s="3" t="str">
        <f t="shared" si="99"/>
        <v>Derrota ajustada</v>
      </c>
    </row>
    <row r="133" spans="1:45" x14ac:dyDescent="0.3">
      <c r="A133" t="s">
        <v>286</v>
      </c>
      <c r="B133">
        <f t="shared" si="80"/>
        <v>2023</v>
      </c>
      <c r="C133" t="str">
        <f t="shared" si="81"/>
        <v>Dec</v>
      </c>
      <c r="D133" t="str" cm="1">
        <f t="array" ref="D133">_xlfn.IFS(OR(C133="Dec", C133="Jan", C133="Feb"), "Invierno", OR(C133="Mar", C133="Apr", C133="May"), "Primavera", OR(C133="Jun", C133="Jul", C133="Aug"), "Verano", OR(C133="Sep", C133="Oct", C133="Nov"), "Otoño")</f>
        <v>Invierno</v>
      </c>
      <c r="E133" t="s">
        <v>37</v>
      </c>
      <c r="F133" t="s">
        <v>38</v>
      </c>
      <c r="G133" t="s">
        <v>232</v>
      </c>
      <c r="H133" t="s">
        <v>32</v>
      </c>
      <c r="I133" t="s">
        <v>121</v>
      </c>
      <c r="J133">
        <v>17</v>
      </c>
      <c r="K133">
        <v>15</v>
      </c>
      <c r="L133">
        <f t="shared" si="82"/>
        <v>17</v>
      </c>
      <c r="M133">
        <f t="shared" si="83"/>
        <v>15</v>
      </c>
      <c r="N133">
        <v>2</v>
      </c>
      <c r="O133">
        <v>2</v>
      </c>
      <c r="P133">
        <f t="shared" si="84"/>
        <v>2</v>
      </c>
      <c r="Q133">
        <f t="shared" si="85"/>
        <v>2</v>
      </c>
      <c r="R133">
        <v>62</v>
      </c>
      <c r="S133">
        <v>38</v>
      </c>
      <c r="T133" s="10">
        <f t="shared" si="86"/>
        <v>62</v>
      </c>
      <c r="U133">
        <f t="shared" si="87"/>
        <v>38</v>
      </c>
      <c r="V133">
        <v>5</v>
      </c>
      <c r="W133">
        <v>6</v>
      </c>
      <c r="X133">
        <v>10</v>
      </c>
      <c r="Y133">
        <v>16</v>
      </c>
      <c r="Z133">
        <f t="shared" si="88"/>
        <v>5</v>
      </c>
      <c r="AA133">
        <f t="shared" si="89"/>
        <v>6</v>
      </c>
      <c r="AB133">
        <f t="shared" si="90"/>
        <v>10</v>
      </c>
      <c r="AC133">
        <f t="shared" si="91"/>
        <v>16</v>
      </c>
      <c r="AD133">
        <v>2</v>
      </c>
      <c r="AE133">
        <v>3</v>
      </c>
      <c r="AF133" t="s">
        <v>100</v>
      </c>
      <c r="AG133">
        <v>0</v>
      </c>
      <c r="AH133">
        <f t="shared" si="92"/>
        <v>0</v>
      </c>
      <c r="AI133">
        <f t="shared" si="93"/>
        <v>0</v>
      </c>
      <c r="AJ133">
        <v>0</v>
      </c>
      <c r="AK133">
        <v>1</v>
      </c>
      <c r="AL133">
        <f t="shared" si="94"/>
        <v>1</v>
      </c>
      <c r="AM133">
        <f t="shared" si="95"/>
        <v>0</v>
      </c>
      <c r="AN133">
        <v>0</v>
      </c>
      <c r="AO133" t="s">
        <v>35</v>
      </c>
      <c r="AP133">
        <f t="shared" si="96"/>
        <v>1</v>
      </c>
      <c r="AQ133">
        <f t="shared" si="97"/>
        <v>0</v>
      </c>
      <c r="AR133" t="str">
        <f t="shared" si="98"/>
        <v>Victoria</v>
      </c>
      <c r="AS133" s="3" t="str">
        <f t="shared" si="99"/>
        <v>Victoria ajustada</v>
      </c>
    </row>
    <row r="134" spans="1:45" x14ac:dyDescent="0.3">
      <c r="A134" t="s">
        <v>287</v>
      </c>
      <c r="B134">
        <f t="shared" si="80"/>
        <v>2024</v>
      </c>
      <c r="C134" t="str">
        <f t="shared" si="81"/>
        <v>Jan</v>
      </c>
      <c r="D134" t="str" cm="1">
        <f t="array" ref="D134">_xlfn.IFS(OR(C134="Dec", C134="Jan", C134="Feb"), "Invierno", OR(C134="Mar", C134="Apr", C134="May"), "Primavera", OR(C134="Jun", C134="Jul", C134="Aug"), "Verano", OR(C134="Sep", C134="Oct", C134="Nov"), "Otoño")</f>
        <v>Invierno</v>
      </c>
      <c r="E134" t="s">
        <v>22</v>
      </c>
      <c r="F134" t="s">
        <v>23</v>
      </c>
      <c r="G134" t="s">
        <v>83</v>
      </c>
      <c r="H134" t="s">
        <v>25</v>
      </c>
      <c r="I134" t="s">
        <v>59</v>
      </c>
      <c r="J134">
        <v>16</v>
      </c>
      <c r="K134">
        <v>8</v>
      </c>
      <c r="L134">
        <f t="shared" si="82"/>
        <v>8</v>
      </c>
      <c r="M134">
        <f t="shared" si="83"/>
        <v>16</v>
      </c>
      <c r="N134">
        <v>1</v>
      </c>
      <c r="O134">
        <v>7</v>
      </c>
      <c r="P134">
        <f t="shared" si="84"/>
        <v>7</v>
      </c>
      <c r="Q134">
        <f t="shared" si="85"/>
        <v>1</v>
      </c>
      <c r="R134">
        <v>55</v>
      </c>
      <c r="S134">
        <v>45</v>
      </c>
      <c r="T134" s="10">
        <f t="shared" si="86"/>
        <v>45</v>
      </c>
      <c r="U134">
        <f t="shared" si="87"/>
        <v>55</v>
      </c>
      <c r="V134">
        <v>6</v>
      </c>
      <c r="W134">
        <v>5</v>
      </c>
      <c r="X134">
        <v>14</v>
      </c>
      <c r="Y134">
        <v>14</v>
      </c>
      <c r="Z134">
        <f t="shared" si="88"/>
        <v>5</v>
      </c>
      <c r="AA134">
        <f t="shared" si="89"/>
        <v>6</v>
      </c>
      <c r="AB134">
        <f t="shared" si="90"/>
        <v>14</v>
      </c>
      <c r="AC134">
        <f t="shared" si="91"/>
        <v>14</v>
      </c>
      <c r="AD134">
        <v>2</v>
      </c>
      <c r="AE134">
        <v>1</v>
      </c>
      <c r="AF134" t="s">
        <v>239</v>
      </c>
      <c r="AG134">
        <v>1</v>
      </c>
      <c r="AH134">
        <f t="shared" si="92"/>
        <v>1</v>
      </c>
      <c r="AI134">
        <f t="shared" si="93"/>
        <v>1</v>
      </c>
      <c r="AJ134">
        <v>1</v>
      </c>
      <c r="AK134">
        <v>0</v>
      </c>
      <c r="AL134">
        <f t="shared" si="94"/>
        <v>0</v>
      </c>
      <c r="AM134">
        <f t="shared" si="95"/>
        <v>0</v>
      </c>
      <c r="AN134">
        <v>0</v>
      </c>
      <c r="AO134" t="s">
        <v>137</v>
      </c>
      <c r="AP134">
        <f t="shared" si="96"/>
        <v>1</v>
      </c>
      <c r="AQ134">
        <f t="shared" si="97"/>
        <v>1</v>
      </c>
      <c r="AR134" t="str">
        <f t="shared" si="98"/>
        <v>Empate</v>
      </c>
      <c r="AS134" s="3" t="str">
        <f t="shared" si="99"/>
        <v>Empate</v>
      </c>
    </row>
    <row r="135" spans="1:45" x14ac:dyDescent="0.3">
      <c r="A135" t="s">
        <v>288</v>
      </c>
      <c r="B135">
        <f t="shared" si="80"/>
        <v>2024</v>
      </c>
      <c r="C135" t="str">
        <f t="shared" si="81"/>
        <v>Jan</v>
      </c>
      <c r="D135" t="str" cm="1">
        <f t="array" ref="D135">_xlfn.IFS(OR(C135="Dec", C135="Jan", C135="Feb"), "Invierno", OR(C135="Mar", C135="Apr", C135="May"), "Primavera", OR(C135="Jun", C135="Jul", C135="Aug"), "Verano", OR(C135="Sep", C135="Oct", C135="Nov"), "Otoño")</f>
        <v>Invierno</v>
      </c>
      <c r="E135" t="s">
        <v>22</v>
      </c>
      <c r="F135" t="s">
        <v>38</v>
      </c>
      <c r="G135" t="s">
        <v>265</v>
      </c>
      <c r="H135" t="s">
        <v>25</v>
      </c>
      <c r="I135" t="s">
        <v>139</v>
      </c>
      <c r="J135">
        <v>21</v>
      </c>
      <c r="K135">
        <v>8</v>
      </c>
      <c r="L135">
        <f t="shared" si="82"/>
        <v>21</v>
      </c>
      <c r="M135">
        <f t="shared" si="83"/>
        <v>8</v>
      </c>
      <c r="N135">
        <v>5</v>
      </c>
      <c r="O135">
        <v>4</v>
      </c>
      <c r="P135">
        <f t="shared" si="84"/>
        <v>5</v>
      </c>
      <c r="Q135">
        <f t="shared" si="85"/>
        <v>4</v>
      </c>
      <c r="R135">
        <v>48</v>
      </c>
      <c r="S135">
        <v>52</v>
      </c>
      <c r="T135" s="10">
        <f t="shared" si="86"/>
        <v>48</v>
      </c>
      <c r="U135">
        <f t="shared" si="87"/>
        <v>52</v>
      </c>
      <c r="V135">
        <v>8</v>
      </c>
      <c r="W135">
        <v>2</v>
      </c>
      <c r="X135">
        <v>11</v>
      </c>
      <c r="Y135">
        <v>8</v>
      </c>
      <c r="Z135">
        <f t="shared" si="88"/>
        <v>8</v>
      </c>
      <c r="AA135">
        <f t="shared" si="89"/>
        <v>2</v>
      </c>
      <c r="AB135">
        <f t="shared" si="90"/>
        <v>11</v>
      </c>
      <c r="AC135">
        <f t="shared" si="91"/>
        <v>8</v>
      </c>
      <c r="AD135">
        <v>0</v>
      </c>
      <c r="AE135">
        <v>2</v>
      </c>
      <c r="AF135" t="s">
        <v>170</v>
      </c>
      <c r="AG135">
        <v>3</v>
      </c>
      <c r="AH135">
        <f t="shared" si="92"/>
        <v>3</v>
      </c>
      <c r="AI135">
        <f t="shared" si="93"/>
        <v>0</v>
      </c>
      <c r="AJ135">
        <v>0</v>
      </c>
      <c r="AK135">
        <v>2</v>
      </c>
      <c r="AL135">
        <f t="shared" si="94"/>
        <v>2</v>
      </c>
      <c r="AM135">
        <f t="shared" si="95"/>
        <v>0</v>
      </c>
      <c r="AN135">
        <v>0</v>
      </c>
      <c r="AO135" t="s">
        <v>42</v>
      </c>
      <c r="AP135">
        <f t="shared" si="96"/>
        <v>5</v>
      </c>
      <c r="AQ135">
        <f t="shared" si="97"/>
        <v>0</v>
      </c>
      <c r="AR135" t="str">
        <f t="shared" si="98"/>
        <v>Victoria</v>
      </c>
      <c r="AS135" s="3" t="str">
        <f t="shared" si="99"/>
        <v>Victoria dominante</v>
      </c>
    </row>
    <row r="136" spans="1:45" x14ac:dyDescent="0.3">
      <c r="A136" t="s">
        <v>289</v>
      </c>
      <c r="B136">
        <f t="shared" si="80"/>
        <v>2024</v>
      </c>
      <c r="C136" t="str">
        <f t="shared" si="81"/>
        <v>Feb</v>
      </c>
      <c r="D136" t="str" cm="1">
        <f t="array" ref="D136">_xlfn.IFS(OR(C136="Dec", C136="Jan", C136="Feb"), "Invierno", OR(C136="Mar", C136="Apr", C136="May"), "Primavera", OR(C136="Jun", C136="Jul", C136="Aug"), "Verano", OR(C136="Sep", C136="Oct", C136="Nov"), "Otoño")</f>
        <v>Invierno</v>
      </c>
      <c r="E136" t="s">
        <v>22</v>
      </c>
      <c r="F136" t="s">
        <v>23</v>
      </c>
      <c r="G136" t="s">
        <v>58</v>
      </c>
      <c r="H136" t="s">
        <v>25</v>
      </c>
      <c r="I136" t="s">
        <v>180</v>
      </c>
      <c r="J136">
        <v>15</v>
      </c>
      <c r="K136">
        <v>6</v>
      </c>
      <c r="L136">
        <f t="shared" si="82"/>
        <v>6</v>
      </c>
      <c r="M136">
        <f t="shared" si="83"/>
        <v>15</v>
      </c>
      <c r="N136">
        <v>1</v>
      </c>
      <c r="O136">
        <v>3</v>
      </c>
      <c r="P136">
        <f t="shared" si="84"/>
        <v>3</v>
      </c>
      <c r="Q136">
        <f t="shared" si="85"/>
        <v>1</v>
      </c>
      <c r="R136">
        <v>59</v>
      </c>
      <c r="S136">
        <v>41</v>
      </c>
      <c r="T136" s="10">
        <f t="shared" si="86"/>
        <v>41</v>
      </c>
      <c r="U136">
        <f t="shared" si="87"/>
        <v>59</v>
      </c>
      <c r="V136">
        <v>4</v>
      </c>
      <c r="W136">
        <v>1</v>
      </c>
      <c r="X136">
        <v>10</v>
      </c>
      <c r="Y136">
        <v>15</v>
      </c>
      <c r="Z136">
        <f t="shared" si="88"/>
        <v>1</v>
      </c>
      <c r="AA136">
        <f t="shared" si="89"/>
        <v>4</v>
      </c>
      <c r="AB136">
        <f t="shared" si="90"/>
        <v>15</v>
      </c>
      <c r="AC136">
        <f t="shared" si="91"/>
        <v>10</v>
      </c>
      <c r="AD136">
        <v>2</v>
      </c>
      <c r="AE136">
        <v>2</v>
      </c>
      <c r="AF136" t="s">
        <v>222</v>
      </c>
      <c r="AG136">
        <v>1</v>
      </c>
      <c r="AH136">
        <f t="shared" si="92"/>
        <v>0</v>
      </c>
      <c r="AI136">
        <f t="shared" si="93"/>
        <v>1</v>
      </c>
      <c r="AJ136">
        <v>0</v>
      </c>
      <c r="AK136">
        <v>3</v>
      </c>
      <c r="AL136">
        <f t="shared" si="94"/>
        <v>0</v>
      </c>
      <c r="AM136">
        <f t="shared" si="95"/>
        <v>3</v>
      </c>
      <c r="AN136">
        <v>0</v>
      </c>
      <c r="AO136" t="s">
        <v>107</v>
      </c>
      <c r="AP136">
        <f t="shared" si="96"/>
        <v>0</v>
      </c>
      <c r="AQ136">
        <f t="shared" si="97"/>
        <v>4</v>
      </c>
      <c r="AR136" t="str">
        <f t="shared" si="98"/>
        <v>Derrota</v>
      </c>
      <c r="AS136" s="3" t="str">
        <f t="shared" si="99"/>
        <v>Derrota ajustada</v>
      </c>
    </row>
    <row r="137" spans="1:45" x14ac:dyDescent="0.3">
      <c r="A137" t="s">
        <v>290</v>
      </c>
      <c r="B137">
        <f t="shared" si="80"/>
        <v>2024</v>
      </c>
      <c r="C137" t="str">
        <f t="shared" si="81"/>
        <v>Jan</v>
      </c>
      <c r="D137" t="str" cm="1">
        <f t="array" ref="D137">_xlfn.IFS(OR(C137="Dec", C137="Jan", C137="Feb"), "Invierno", OR(C137="Mar", C137="Apr", C137="May"), "Primavera", OR(C137="Jun", C137="Jul", C137="Aug"), "Verano", OR(C137="Sep", C137="Oct", C137="Nov"), "Otoño")</f>
        <v>Invierno</v>
      </c>
      <c r="E137" t="s">
        <v>30</v>
      </c>
      <c r="F137" t="s">
        <v>38</v>
      </c>
      <c r="G137" t="s">
        <v>73</v>
      </c>
      <c r="H137" t="s">
        <v>25</v>
      </c>
      <c r="I137" t="s">
        <v>150</v>
      </c>
      <c r="J137">
        <v>14</v>
      </c>
      <c r="K137">
        <v>13</v>
      </c>
      <c r="L137">
        <f t="shared" si="82"/>
        <v>14</v>
      </c>
      <c r="M137">
        <f t="shared" si="83"/>
        <v>13</v>
      </c>
      <c r="N137">
        <v>5</v>
      </c>
      <c r="O137">
        <v>9</v>
      </c>
      <c r="P137">
        <f t="shared" si="84"/>
        <v>5</v>
      </c>
      <c r="Q137">
        <f t="shared" si="85"/>
        <v>9</v>
      </c>
      <c r="R137">
        <v>59</v>
      </c>
      <c r="S137">
        <v>41</v>
      </c>
      <c r="T137" s="10">
        <f t="shared" si="86"/>
        <v>59</v>
      </c>
      <c r="U137">
        <f t="shared" si="87"/>
        <v>41</v>
      </c>
      <c r="V137">
        <v>4</v>
      </c>
      <c r="W137">
        <v>4</v>
      </c>
      <c r="X137">
        <v>8</v>
      </c>
      <c r="Y137">
        <v>11</v>
      </c>
      <c r="Z137">
        <f t="shared" si="88"/>
        <v>4</v>
      </c>
      <c r="AA137">
        <f t="shared" si="89"/>
        <v>4</v>
      </c>
      <c r="AB137">
        <f t="shared" si="90"/>
        <v>8</v>
      </c>
      <c r="AC137">
        <f t="shared" si="91"/>
        <v>11</v>
      </c>
      <c r="AD137">
        <v>1</v>
      </c>
      <c r="AE137">
        <v>3</v>
      </c>
      <c r="AF137" t="s">
        <v>114</v>
      </c>
      <c r="AG137">
        <v>1</v>
      </c>
      <c r="AH137">
        <f t="shared" si="92"/>
        <v>1</v>
      </c>
      <c r="AI137">
        <f t="shared" si="93"/>
        <v>0</v>
      </c>
      <c r="AJ137">
        <v>0</v>
      </c>
      <c r="AK137">
        <v>1</v>
      </c>
      <c r="AL137">
        <f t="shared" si="94"/>
        <v>1</v>
      </c>
      <c r="AM137">
        <f t="shared" si="95"/>
        <v>0</v>
      </c>
      <c r="AN137">
        <v>0</v>
      </c>
      <c r="AO137" t="s">
        <v>97</v>
      </c>
      <c r="AP137">
        <f t="shared" si="96"/>
        <v>2</v>
      </c>
      <c r="AQ137">
        <f t="shared" si="97"/>
        <v>0</v>
      </c>
      <c r="AR137" t="str">
        <f t="shared" si="98"/>
        <v>Victoria</v>
      </c>
      <c r="AS137" s="3" t="str">
        <f t="shared" si="99"/>
        <v>Victoria dominante</v>
      </c>
    </row>
    <row r="138" spans="1:45" x14ac:dyDescent="0.3">
      <c r="A138" t="s">
        <v>291</v>
      </c>
      <c r="B138">
        <f t="shared" si="80"/>
        <v>2024</v>
      </c>
      <c r="C138" t="str">
        <f t="shared" si="81"/>
        <v>Feb</v>
      </c>
      <c r="D138" t="str" cm="1">
        <f t="array" ref="D138">_xlfn.IFS(OR(C138="Dec", C138="Jan", C138="Feb"), "Invierno", OR(C138="Mar", C138="Apr", C138="May"), "Primavera", OR(C138="Jun", C138="Jul", C138="Aug"), "Verano", OR(C138="Sep", C138="Oct", C138="Nov"), "Otoño")</f>
        <v>Invierno</v>
      </c>
      <c r="E138" t="s">
        <v>62</v>
      </c>
      <c r="F138" t="s">
        <v>38</v>
      </c>
      <c r="G138" t="s">
        <v>24</v>
      </c>
      <c r="H138" t="s">
        <v>32</v>
      </c>
      <c r="I138" t="s">
        <v>123</v>
      </c>
      <c r="J138">
        <v>19</v>
      </c>
      <c r="K138">
        <v>7</v>
      </c>
      <c r="L138">
        <f t="shared" si="82"/>
        <v>19</v>
      </c>
      <c r="M138">
        <f t="shared" si="83"/>
        <v>7</v>
      </c>
      <c r="N138">
        <v>0</v>
      </c>
      <c r="O138">
        <v>2</v>
      </c>
      <c r="P138">
        <f t="shared" si="84"/>
        <v>0</v>
      </c>
      <c r="Q138">
        <f t="shared" si="85"/>
        <v>2</v>
      </c>
      <c r="R138">
        <v>53</v>
      </c>
      <c r="S138">
        <v>47</v>
      </c>
      <c r="T138" s="10">
        <f t="shared" si="86"/>
        <v>53</v>
      </c>
      <c r="U138">
        <f t="shared" si="87"/>
        <v>47</v>
      </c>
      <c r="V138">
        <v>6</v>
      </c>
      <c r="W138">
        <v>1</v>
      </c>
      <c r="X138">
        <v>13</v>
      </c>
      <c r="Y138">
        <v>14</v>
      </c>
      <c r="Z138">
        <f t="shared" si="88"/>
        <v>6</v>
      </c>
      <c r="AA138">
        <f t="shared" si="89"/>
        <v>1</v>
      </c>
      <c r="AB138">
        <f t="shared" si="90"/>
        <v>13</v>
      </c>
      <c r="AC138">
        <f t="shared" si="91"/>
        <v>14</v>
      </c>
      <c r="AD138">
        <v>1</v>
      </c>
      <c r="AE138">
        <v>1</v>
      </c>
      <c r="AF138" t="s">
        <v>173</v>
      </c>
      <c r="AG138">
        <v>2</v>
      </c>
      <c r="AH138">
        <f t="shared" si="92"/>
        <v>2</v>
      </c>
      <c r="AI138">
        <f t="shared" si="93"/>
        <v>0</v>
      </c>
      <c r="AJ138">
        <v>0</v>
      </c>
      <c r="AK138">
        <v>1</v>
      </c>
      <c r="AL138">
        <f t="shared" si="94"/>
        <v>1</v>
      </c>
      <c r="AM138">
        <f t="shared" si="95"/>
        <v>1</v>
      </c>
      <c r="AN138">
        <v>1</v>
      </c>
      <c r="AO138" t="s">
        <v>81</v>
      </c>
      <c r="AP138">
        <f t="shared" si="96"/>
        <v>3</v>
      </c>
      <c r="AQ138">
        <f t="shared" si="97"/>
        <v>1</v>
      </c>
      <c r="AR138" t="str">
        <f t="shared" si="98"/>
        <v>Victoria</v>
      </c>
      <c r="AS138" s="3" t="str">
        <f t="shared" si="99"/>
        <v>Victoria dominante</v>
      </c>
    </row>
    <row r="139" spans="1:45" x14ac:dyDescent="0.3">
      <c r="A139" t="s">
        <v>292</v>
      </c>
      <c r="B139">
        <f t="shared" si="80"/>
        <v>2024</v>
      </c>
      <c r="C139" t="str">
        <f t="shared" si="81"/>
        <v>Feb</v>
      </c>
      <c r="D139" t="str" cm="1">
        <f t="array" ref="D139">_xlfn.IFS(OR(C139="Dec", C139="Jan", C139="Feb"), "Invierno", OR(C139="Mar", C139="Apr", C139="May"), "Primavera", OR(C139="Jun", C139="Jul", C139="Aug"), "Verano", OR(C139="Sep", C139="Oct", C139="Nov"), "Otoño")</f>
        <v>Invierno</v>
      </c>
      <c r="E139" t="s">
        <v>62</v>
      </c>
      <c r="F139" t="s">
        <v>23</v>
      </c>
      <c r="G139" t="s">
        <v>102</v>
      </c>
      <c r="H139" t="s">
        <v>25</v>
      </c>
      <c r="I139" t="s">
        <v>26</v>
      </c>
      <c r="J139">
        <v>15</v>
      </c>
      <c r="K139">
        <v>14</v>
      </c>
      <c r="L139">
        <f t="shared" si="82"/>
        <v>14</v>
      </c>
      <c r="M139">
        <f t="shared" si="83"/>
        <v>15</v>
      </c>
      <c r="N139">
        <v>5</v>
      </c>
      <c r="O139">
        <v>5</v>
      </c>
      <c r="P139">
        <f t="shared" si="84"/>
        <v>5</v>
      </c>
      <c r="Q139">
        <f t="shared" si="85"/>
        <v>5</v>
      </c>
      <c r="R139">
        <v>55</v>
      </c>
      <c r="S139">
        <v>45</v>
      </c>
      <c r="T139" s="10">
        <f t="shared" si="86"/>
        <v>45</v>
      </c>
      <c r="U139">
        <f t="shared" si="87"/>
        <v>55</v>
      </c>
      <c r="V139">
        <v>7</v>
      </c>
      <c r="W139">
        <v>4</v>
      </c>
      <c r="X139">
        <v>8</v>
      </c>
      <c r="Y139">
        <v>13</v>
      </c>
      <c r="Z139">
        <f t="shared" si="88"/>
        <v>4</v>
      </c>
      <c r="AA139">
        <f t="shared" si="89"/>
        <v>7</v>
      </c>
      <c r="AB139">
        <f t="shared" si="90"/>
        <v>13</v>
      </c>
      <c r="AC139">
        <f t="shared" si="91"/>
        <v>8</v>
      </c>
      <c r="AD139">
        <v>0</v>
      </c>
      <c r="AE139">
        <v>1</v>
      </c>
      <c r="AF139" t="s">
        <v>222</v>
      </c>
      <c r="AG139">
        <v>0</v>
      </c>
      <c r="AH139">
        <f t="shared" si="92"/>
        <v>1</v>
      </c>
      <c r="AI139">
        <f t="shared" si="93"/>
        <v>0</v>
      </c>
      <c r="AJ139">
        <v>1</v>
      </c>
      <c r="AK139">
        <v>1</v>
      </c>
      <c r="AL139">
        <f t="shared" si="94"/>
        <v>3</v>
      </c>
      <c r="AM139">
        <f t="shared" si="95"/>
        <v>1</v>
      </c>
      <c r="AN139">
        <v>3</v>
      </c>
      <c r="AO139" t="s">
        <v>35</v>
      </c>
      <c r="AP139">
        <f t="shared" si="96"/>
        <v>4</v>
      </c>
      <c r="AQ139">
        <f t="shared" si="97"/>
        <v>1</v>
      </c>
      <c r="AR139" t="str">
        <f t="shared" si="98"/>
        <v>Victoria</v>
      </c>
      <c r="AS139" s="3" t="str">
        <f t="shared" si="99"/>
        <v>Victoria dominante</v>
      </c>
    </row>
    <row r="140" spans="1:45" x14ac:dyDescent="0.3">
      <c r="A140" t="s">
        <v>293</v>
      </c>
      <c r="B140">
        <f t="shared" si="80"/>
        <v>2024</v>
      </c>
      <c r="C140" t="str">
        <f t="shared" si="81"/>
        <v>Feb</v>
      </c>
      <c r="D140" t="str" cm="1">
        <f t="array" ref="D140">_xlfn.IFS(OR(C140="Dec", C140="Jan", C140="Feb"), "Invierno", OR(C140="Mar", C140="Apr", C140="May"), "Primavera", OR(C140="Jun", C140="Jul", C140="Aug"), "Verano", OR(C140="Sep", C140="Oct", C140="Nov"), "Otoño")</f>
        <v>Invierno</v>
      </c>
      <c r="E140" t="s">
        <v>22</v>
      </c>
      <c r="F140" t="s">
        <v>38</v>
      </c>
      <c r="G140" t="s">
        <v>91</v>
      </c>
      <c r="H140" t="s">
        <v>32</v>
      </c>
      <c r="I140" t="s">
        <v>76</v>
      </c>
      <c r="J140">
        <v>0</v>
      </c>
      <c r="K140">
        <v>0</v>
      </c>
      <c r="L140">
        <f t="shared" si="82"/>
        <v>0</v>
      </c>
      <c r="M140">
        <f t="shared" si="83"/>
        <v>0</v>
      </c>
      <c r="N140">
        <v>0</v>
      </c>
      <c r="O140">
        <v>0</v>
      </c>
      <c r="P140">
        <f t="shared" si="84"/>
        <v>0</v>
      </c>
      <c r="Q140">
        <f t="shared" si="85"/>
        <v>0</v>
      </c>
      <c r="R140">
        <v>0</v>
      </c>
      <c r="S140">
        <v>0</v>
      </c>
      <c r="T140" s="10">
        <f t="shared" si="86"/>
        <v>0</v>
      </c>
      <c r="U140">
        <f t="shared" si="87"/>
        <v>0</v>
      </c>
      <c r="V140">
        <v>0</v>
      </c>
      <c r="W140">
        <v>0</v>
      </c>
      <c r="X140">
        <v>0</v>
      </c>
      <c r="Y140">
        <v>0</v>
      </c>
      <c r="Z140">
        <f t="shared" si="88"/>
        <v>0</v>
      </c>
      <c r="AA140">
        <f t="shared" si="89"/>
        <v>0</v>
      </c>
      <c r="AB140">
        <f t="shared" si="90"/>
        <v>0</v>
      </c>
      <c r="AC140">
        <f t="shared" si="91"/>
        <v>0</v>
      </c>
      <c r="AD140">
        <v>0</v>
      </c>
      <c r="AE140">
        <v>0</v>
      </c>
      <c r="AF140" t="s">
        <v>334</v>
      </c>
      <c r="AG140">
        <v>1</v>
      </c>
      <c r="AH140">
        <f t="shared" si="92"/>
        <v>1</v>
      </c>
      <c r="AI140">
        <f t="shared" si="93"/>
        <v>0</v>
      </c>
      <c r="AJ140">
        <v>0</v>
      </c>
      <c r="AK140">
        <v>2</v>
      </c>
      <c r="AL140">
        <f t="shared" si="94"/>
        <v>2</v>
      </c>
      <c r="AM140">
        <f t="shared" si="95"/>
        <v>0</v>
      </c>
      <c r="AN140">
        <v>0</v>
      </c>
      <c r="AO140" t="s">
        <v>78</v>
      </c>
      <c r="AP140">
        <f t="shared" si="96"/>
        <v>3</v>
      </c>
      <c r="AQ140">
        <f t="shared" si="97"/>
        <v>0</v>
      </c>
      <c r="AR140" t="str">
        <f t="shared" si="98"/>
        <v>Victoria</v>
      </c>
      <c r="AS140" s="3" t="str">
        <f t="shared" si="99"/>
        <v>Victoria dominante</v>
      </c>
    </row>
    <row r="141" spans="1:45" x14ac:dyDescent="0.3">
      <c r="A141" t="s">
        <v>294</v>
      </c>
      <c r="B141">
        <f t="shared" si="80"/>
        <v>2024</v>
      </c>
      <c r="C141" t="str">
        <f t="shared" si="81"/>
        <v>Feb</v>
      </c>
      <c r="D141" t="str" cm="1">
        <f t="array" ref="D141">_xlfn.IFS(OR(C141="Dec", C141="Jan", C141="Feb"), "Invierno", OR(C141="Mar", C141="Apr", C141="May"), "Primavera", OR(C141="Jun", C141="Jul", C141="Aug"), "Verano", OR(C141="Sep", C141="Oct", C141="Nov"), "Otoño")</f>
        <v>Invierno</v>
      </c>
      <c r="E141" t="s">
        <v>22</v>
      </c>
      <c r="F141" t="s">
        <v>23</v>
      </c>
      <c r="G141" t="s">
        <v>105</v>
      </c>
      <c r="H141" t="s">
        <v>32</v>
      </c>
      <c r="I141" t="s">
        <v>59</v>
      </c>
      <c r="J141">
        <v>20</v>
      </c>
      <c r="K141">
        <v>8</v>
      </c>
      <c r="L141">
        <f t="shared" si="82"/>
        <v>8</v>
      </c>
      <c r="M141">
        <f t="shared" si="83"/>
        <v>20</v>
      </c>
      <c r="N141">
        <v>2</v>
      </c>
      <c r="O141">
        <v>5</v>
      </c>
      <c r="P141">
        <f t="shared" si="84"/>
        <v>5</v>
      </c>
      <c r="Q141">
        <f t="shared" si="85"/>
        <v>2</v>
      </c>
      <c r="R141">
        <v>68</v>
      </c>
      <c r="S141">
        <v>32</v>
      </c>
      <c r="T141" s="10">
        <f t="shared" si="86"/>
        <v>32</v>
      </c>
      <c r="U141">
        <f t="shared" si="87"/>
        <v>68</v>
      </c>
      <c r="V141">
        <v>5</v>
      </c>
      <c r="W141">
        <v>3</v>
      </c>
      <c r="X141">
        <v>12</v>
      </c>
      <c r="Y141">
        <v>16</v>
      </c>
      <c r="Z141">
        <f t="shared" si="88"/>
        <v>3</v>
      </c>
      <c r="AA141">
        <f t="shared" si="89"/>
        <v>5</v>
      </c>
      <c r="AB141">
        <f t="shared" si="90"/>
        <v>16</v>
      </c>
      <c r="AC141">
        <f t="shared" si="91"/>
        <v>12</v>
      </c>
      <c r="AD141">
        <v>0</v>
      </c>
      <c r="AE141">
        <v>1</v>
      </c>
      <c r="AF141" t="s">
        <v>134</v>
      </c>
      <c r="AG141">
        <v>1</v>
      </c>
      <c r="AH141">
        <f t="shared" si="92"/>
        <v>1</v>
      </c>
      <c r="AI141">
        <f t="shared" si="93"/>
        <v>1</v>
      </c>
      <c r="AJ141">
        <v>1</v>
      </c>
      <c r="AK141">
        <v>0</v>
      </c>
      <c r="AL141">
        <f t="shared" si="94"/>
        <v>0</v>
      </c>
      <c r="AM141">
        <f t="shared" si="95"/>
        <v>0</v>
      </c>
      <c r="AN141">
        <v>0</v>
      </c>
      <c r="AO141" t="s">
        <v>135</v>
      </c>
      <c r="AP141">
        <f t="shared" si="96"/>
        <v>1</v>
      </c>
      <c r="AQ141">
        <f t="shared" si="97"/>
        <v>1</v>
      </c>
      <c r="AR141" t="str">
        <f t="shared" si="98"/>
        <v>Empate</v>
      </c>
      <c r="AS141" s="3" t="str">
        <f t="shared" si="99"/>
        <v>Empate</v>
      </c>
    </row>
    <row r="142" spans="1:45" x14ac:dyDescent="0.3">
      <c r="A142" t="s">
        <v>295</v>
      </c>
      <c r="B142">
        <f t="shared" si="80"/>
        <v>2024</v>
      </c>
      <c r="C142" t="str">
        <f t="shared" si="81"/>
        <v>Mar</v>
      </c>
      <c r="D142" t="str" cm="1">
        <f t="array" ref="D142">_xlfn.IFS(OR(C142="Dec", C142="Jan", C142="Feb"), "Invierno", OR(C142="Mar", C142="Apr", C142="May"), "Primavera", OR(C142="Jun", C142="Jul", C142="Aug"), "Verano", OR(C142="Sep", C142="Oct", C142="Nov"), "Otoño")</f>
        <v>Primavera</v>
      </c>
      <c r="E142" t="s">
        <v>62</v>
      </c>
      <c r="F142" t="s">
        <v>38</v>
      </c>
      <c r="G142" t="s">
        <v>87</v>
      </c>
      <c r="H142" t="s">
        <v>32</v>
      </c>
      <c r="I142" t="s">
        <v>54</v>
      </c>
      <c r="J142">
        <v>11</v>
      </c>
      <c r="K142">
        <v>11</v>
      </c>
      <c r="L142">
        <f t="shared" si="82"/>
        <v>11</v>
      </c>
      <c r="M142">
        <f t="shared" si="83"/>
        <v>11</v>
      </c>
      <c r="N142">
        <v>4</v>
      </c>
      <c r="O142">
        <v>1</v>
      </c>
      <c r="P142">
        <f t="shared" si="84"/>
        <v>4</v>
      </c>
      <c r="Q142">
        <f t="shared" si="85"/>
        <v>1</v>
      </c>
      <c r="R142">
        <v>55</v>
      </c>
      <c r="S142">
        <v>45</v>
      </c>
      <c r="T142" s="10">
        <f t="shared" si="86"/>
        <v>55</v>
      </c>
      <c r="U142">
        <f t="shared" si="87"/>
        <v>45</v>
      </c>
      <c r="V142">
        <v>6</v>
      </c>
      <c r="W142">
        <v>2</v>
      </c>
      <c r="X142">
        <v>11</v>
      </c>
      <c r="Y142">
        <v>12</v>
      </c>
      <c r="Z142">
        <f t="shared" si="88"/>
        <v>6</v>
      </c>
      <c r="AA142">
        <f t="shared" si="89"/>
        <v>2</v>
      </c>
      <c r="AB142">
        <f t="shared" si="90"/>
        <v>11</v>
      </c>
      <c r="AC142">
        <f t="shared" si="91"/>
        <v>12</v>
      </c>
      <c r="AD142">
        <v>2</v>
      </c>
      <c r="AE142">
        <v>2</v>
      </c>
      <c r="AF142" t="s">
        <v>282</v>
      </c>
      <c r="AG142">
        <v>1</v>
      </c>
      <c r="AH142">
        <f t="shared" si="92"/>
        <v>1</v>
      </c>
      <c r="AI142">
        <f t="shared" si="93"/>
        <v>0</v>
      </c>
      <c r="AJ142">
        <v>0</v>
      </c>
      <c r="AK142">
        <v>0</v>
      </c>
      <c r="AL142">
        <f t="shared" si="94"/>
        <v>0</v>
      </c>
      <c r="AM142">
        <f t="shared" si="95"/>
        <v>2</v>
      </c>
      <c r="AN142">
        <v>2</v>
      </c>
      <c r="AO142" t="s">
        <v>81</v>
      </c>
      <c r="AP142">
        <f t="shared" si="96"/>
        <v>1</v>
      </c>
      <c r="AQ142">
        <f t="shared" si="97"/>
        <v>2</v>
      </c>
      <c r="AR142" t="str">
        <f t="shared" si="98"/>
        <v>Derrota</v>
      </c>
      <c r="AS142" s="3" t="str">
        <f t="shared" si="99"/>
        <v>Derrota ajustada</v>
      </c>
    </row>
    <row r="143" spans="1:45" x14ac:dyDescent="0.3">
      <c r="A143" t="s">
        <v>296</v>
      </c>
      <c r="B143">
        <f t="shared" si="80"/>
        <v>2024</v>
      </c>
      <c r="C143" t="str">
        <f t="shared" si="81"/>
        <v>Mar</v>
      </c>
      <c r="D143" t="str" cm="1">
        <f t="array" ref="D143">_xlfn.IFS(OR(C143="Dec", C143="Jan", C143="Feb"), "Invierno", OR(C143="Mar", C143="Apr", C143="May"), "Primavera", OR(C143="Jun", C143="Jul", C143="Aug"), "Verano", OR(C143="Sep", C143="Oct", C143="Nov"), "Otoño")</f>
        <v>Primavera</v>
      </c>
      <c r="E143" t="s">
        <v>62</v>
      </c>
      <c r="F143" t="s">
        <v>23</v>
      </c>
      <c r="G143" t="s">
        <v>351</v>
      </c>
      <c r="H143" t="s">
        <v>25</v>
      </c>
      <c r="I143" t="s">
        <v>88</v>
      </c>
      <c r="J143">
        <v>18</v>
      </c>
      <c r="K143">
        <v>7</v>
      </c>
      <c r="L143">
        <f t="shared" si="82"/>
        <v>7</v>
      </c>
      <c r="M143">
        <f t="shared" si="83"/>
        <v>18</v>
      </c>
      <c r="N143">
        <v>1</v>
      </c>
      <c r="O143">
        <v>3</v>
      </c>
      <c r="P143">
        <f t="shared" si="84"/>
        <v>3</v>
      </c>
      <c r="Q143">
        <f t="shared" si="85"/>
        <v>1</v>
      </c>
      <c r="R143">
        <v>51</v>
      </c>
      <c r="S143">
        <v>49</v>
      </c>
      <c r="T143" s="10">
        <f t="shared" si="86"/>
        <v>49</v>
      </c>
      <c r="U143">
        <f t="shared" si="87"/>
        <v>51</v>
      </c>
      <c r="V143">
        <v>4</v>
      </c>
      <c r="W143">
        <v>3</v>
      </c>
      <c r="X143">
        <v>12</v>
      </c>
      <c r="Y143">
        <v>10</v>
      </c>
      <c r="Z143">
        <f t="shared" si="88"/>
        <v>3</v>
      </c>
      <c r="AA143">
        <f t="shared" si="89"/>
        <v>4</v>
      </c>
      <c r="AB143">
        <f t="shared" si="90"/>
        <v>10</v>
      </c>
      <c r="AC143">
        <f t="shared" si="91"/>
        <v>12</v>
      </c>
      <c r="AD143">
        <v>2</v>
      </c>
      <c r="AE143">
        <v>0</v>
      </c>
      <c r="AF143" t="s">
        <v>173</v>
      </c>
      <c r="AG143">
        <v>0</v>
      </c>
      <c r="AH143">
        <f t="shared" si="92"/>
        <v>1</v>
      </c>
      <c r="AI143">
        <f t="shared" si="93"/>
        <v>0</v>
      </c>
      <c r="AJ143">
        <v>1</v>
      </c>
      <c r="AK143">
        <v>2</v>
      </c>
      <c r="AL143">
        <f t="shared" si="94"/>
        <v>1</v>
      </c>
      <c r="AM143">
        <f t="shared" si="95"/>
        <v>2</v>
      </c>
      <c r="AN143">
        <v>1</v>
      </c>
      <c r="AO143" t="s">
        <v>163</v>
      </c>
      <c r="AP143">
        <f t="shared" si="96"/>
        <v>2</v>
      </c>
      <c r="AQ143">
        <f t="shared" si="97"/>
        <v>2</v>
      </c>
      <c r="AR143" t="str">
        <f t="shared" si="98"/>
        <v>Empate</v>
      </c>
      <c r="AS143" s="3" t="str">
        <f t="shared" si="99"/>
        <v>Empate</v>
      </c>
    </row>
    <row r="144" spans="1:45" x14ac:dyDescent="0.3">
      <c r="A144" t="s">
        <v>297</v>
      </c>
      <c r="B144">
        <f t="shared" si="80"/>
        <v>2024</v>
      </c>
      <c r="C144" t="str">
        <f t="shared" si="81"/>
        <v>Jun</v>
      </c>
      <c r="D144" t="str" cm="1">
        <f t="array" ref="D144">_xlfn.IFS(OR(C144="Dec", C144="Jan", C144="Feb"), "Invierno", OR(C144="Mar", C144="Apr", C144="May"), "Primavera", OR(C144="Jun", C144="Jul", C144="Aug"), "Verano", OR(C144="Sep", C144="Oct", C144="Nov"), "Otoño")</f>
        <v>Verano</v>
      </c>
      <c r="E144" t="s">
        <v>62</v>
      </c>
      <c r="F144" t="s">
        <v>38</v>
      </c>
      <c r="G144" t="s">
        <v>75</v>
      </c>
      <c r="H144" t="s">
        <v>32</v>
      </c>
      <c r="I144" t="s">
        <v>132</v>
      </c>
      <c r="J144">
        <v>12</v>
      </c>
      <c r="K144">
        <v>8</v>
      </c>
      <c r="L144">
        <f t="shared" si="82"/>
        <v>12</v>
      </c>
      <c r="M144">
        <f t="shared" si="83"/>
        <v>8</v>
      </c>
      <c r="N144">
        <v>1</v>
      </c>
      <c r="O144">
        <v>1</v>
      </c>
      <c r="P144">
        <f t="shared" si="84"/>
        <v>1</v>
      </c>
      <c r="Q144">
        <f t="shared" si="85"/>
        <v>1</v>
      </c>
      <c r="R144">
        <v>54</v>
      </c>
      <c r="S144">
        <v>46</v>
      </c>
      <c r="T144" s="10">
        <f t="shared" si="86"/>
        <v>54</v>
      </c>
      <c r="U144">
        <f t="shared" si="87"/>
        <v>46</v>
      </c>
      <c r="V144">
        <v>4</v>
      </c>
      <c r="W144">
        <v>4</v>
      </c>
      <c r="X144">
        <v>5</v>
      </c>
      <c r="Y144">
        <v>9</v>
      </c>
      <c r="Z144">
        <f t="shared" si="88"/>
        <v>4</v>
      </c>
      <c r="AA144">
        <f t="shared" si="89"/>
        <v>4</v>
      </c>
      <c r="AB144">
        <f t="shared" si="90"/>
        <v>5</v>
      </c>
      <c r="AC144">
        <f t="shared" si="91"/>
        <v>9</v>
      </c>
      <c r="AD144">
        <v>5</v>
      </c>
      <c r="AE144">
        <v>4</v>
      </c>
      <c r="AF144" t="s">
        <v>134</v>
      </c>
      <c r="AG144">
        <v>2</v>
      </c>
      <c r="AH144">
        <f t="shared" si="92"/>
        <v>2</v>
      </c>
      <c r="AI144">
        <f t="shared" si="93"/>
        <v>2</v>
      </c>
      <c r="AJ144">
        <v>2</v>
      </c>
      <c r="AK144">
        <v>0</v>
      </c>
      <c r="AL144">
        <f t="shared" si="94"/>
        <v>0</v>
      </c>
      <c r="AM144">
        <f t="shared" si="95"/>
        <v>1</v>
      </c>
      <c r="AN144">
        <v>1</v>
      </c>
      <c r="AO144" t="s">
        <v>143</v>
      </c>
      <c r="AP144">
        <f t="shared" si="96"/>
        <v>2</v>
      </c>
      <c r="AQ144">
        <f t="shared" si="97"/>
        <v>3</v>
      </c>
      <c r="AR144" t="str">
        <f t="shared" si="98"/>
        <v>Derrota</v>
      </c>
      <c r="AS144" s="3" t="str">
        <f t="shared" si="99"/>
        <v>Derrota ajustada</v>
      </c>
    </row>
    <row r="145" spans="1:45" x14ac:dyDescent="0.3">
      <c r="A145" t="s">
        <v>298</v>
      </c>
      <c r="B145">
        <f t="shared" si="80"/>
        <v>2024</v>
      </c>
      <c r="C145" t="str">
        <f t="shared" si="81"/>
        <v>Mar</v>
      </c>
      <c r="D145" t="str" cm="1">
        <f t="array" ref="D145">_xlfn.IFS(OR(C145="Dec", C145="Jan", C145="Feb"), "Invierno", OR(C145="Mar", C145="Apr", C145="May"), "Primavera", OR(C145="Jun", C145="Jul", C145="Aug"), "Verano", OR(C145="Sep", C145="Oct", C145="Nov"), "Otoño")</f>
        <v>Primavera</v>
      </c>
      <c r="E145" t="s">
        <v>37</v>
      </c>
      <c r="F145" t="s">
        <v>23</v>
      </c>
      <c r="G145" t="s">
        <v>44</v>
      </c>
      <c r="H145" t="s">
        <v>32</v>
      </c>
      <c r="I145" t="s">
        <v>106</v>
      </c>
      <c r="J145">
        <v>20</v>
      </c>
      <c r="K145">
        <v>12</v>
      </c>
      <c r="L145">
        <f t="shared" si="82"/>
        <v>12</v>
      </c>
      <c r="M145">
        <f t="shared" si="83"/>
        <v>20</v>
      </c>
      <c r="N145">
        <v>3</v>
      </c>
      <c r="O145">
        <v>5</v>
      </c>
      <c r="P145">
        <f t="shared" si="84"/>
        <v>5</v>
      </c>
      <c r="Q145">
        <f t="shared" si="85"/>
        <v>3</v>
      </c>
      <c r="R145">
        <v>61</v>
      </c>
      <c r="S145">
        <v>39</v>
      </c>
      <c r="T145" s="10">
        <f t="shared" si="86"/>
        <v>39</v>
      </c>
      <c r="U145">
        <f t="shared" si="87"/>
        <v>61</v>
      </c>
      <c r="V145">
        <v>7</v>
      </c>
      <c r="W145">
        <v>5</v>
      </c>
      <c r="X145">
        <v>6</v>
      </c>
      <c r="Y145">
        <v>13</v>
      </c>
      <c r="Z145">
        <f t="shared" si="88"/>
        <v>5</v>
      </c>
      <c r="AA145">
        <f t="shared" si="89"/>
        <v>7</v>
      </c>
      <c r="AB145">
        <f t="shared" si="90"/>
        <v>13</v>
      </c>
      <c r="AC145">
        <f t="shared" si="91"/>
        <v>6</v>
      </c>
      <c r="AD145">
        <v>3</v>
      </c>
      <c r="AE145">
        <v>2</v>
      </c>
      <c r="AF145" t="s">
        <v>127</v>
      </c>
      <c r="AG145">
        <v>0</v>
      </c>
      <c r="AH145">
        <f t="shared" si="92"/>
        <v>1</v>
      </c>
      <c r="AI145">
        <f t="shared" si="93"/>
        <v>0</v>
      </c>
      <c r="AJ145">
        <v>1</v>
      </c>
      <c r="AK145">
        <v>0</v>
      </c>
      <c r="AL145">
        <f t="shared" si="94"/>
        <v>2</v>
      </c>
      <c r="AM145">
        <f t="shared" si="95"/>
        <v>0</v>
      </c>
      <c r="AN145">
        <v>2</v>
      </c>
      <c r="AO145" t="s">
        <v>143</v>
      </c>
      <c r="AP145">
        <f t="shared" si="96"/>
        <v>3</v>
      </c>
      <c r="AQ145">
        <f t="shared" si="97"/>
        <v>0</v>
      </c>
      <c r="AR145" t="str">
        <f t="shared" si="98"/>
        <v>Victoria</v>
      </c>
      <c r="AS145" s="3" t="str">
        <f t="shared" si="99"/>
        <v>Victoria dominante</v>
      </c>
    </row>
    <row r="146" spans="1:45" x14ac:dyDescent="0.3">
      <c r="A146" t="s">
        <v>299</v>
      </c>
      <c r="B146">
        <f t="shared" si="80"/>
        <v>2024</v>
      </c>
      <c r="C146" t="str">
        <f t="shared" si="81"/>
        <v>Apr</v>
      </c>
      <c r="D146" t="str" cm="1">
        <f t="array" ref="D146">_xlfn.IFS(OR(C146="Dec", C146="Jan", C146="Feb"), "Invierno", OR(C146="Mar", C146="Apr", C146="May"), "Primavera", OR(C146="Jun", C146="Jul", C146="Aug"), "Verano", OR(C146="Sep", C146="Oct", C146="Nov"), "Otoño")</f>
        <v>Primavera</v>
      </c>
      <c r="E146" t="s">
        <v>62</v>
      </c>
      <c r="F146" t="s">
        <v>23</v>
      </c>
      <c r="G146" t="s">
        <v>39</v>
      </c>
      <c r="H146" t="s">
        <v>32</v>
      </c>
      <c r="I146" t="s">
        <v>161</v>
      </c>
      <c r="J146">
        <v>11</v>
      </c>
      <c r="K146">
        <v>7</v>
      </c>
      <c r="L146">
        <f t="shared" si="82"/>
        <v>7</v>
      </c>
      <c r="M146">
        <f t="shared" si="83"/>
        <v>11</v>
      </c>
      <c r="N146">
        <v>1</v>
      </c>
      <c r="O146">
        <v>1</v>
      </c>
      <c r="P146">
        <f t="shared" si="84"/>
        <v>1</v>
      </c>
      <c r="Q146">
        <f t="shared" si="85"/>
        <v>1</v>
      </c>
      <c r="R146">
        <v>38</v>
      </c>
      <c r="S146">
        <v>62</v>
      </c>
      <c r="T146" s="10">
        <f t="shared" si="86"/>
        <v>62</v>
      </c>
      <c r="U146">
        <f t="shared" si="87"/>
        <v>38</v>
      </c>
      <c r="V146">
        <v>4</v>
      </c>
      <c r="W146">
        <v>4</v>
      </c>
      <c r="X146">
        <v>16</v>
      </c>
      <c r="Y146">
        <v>19</v>
      </c>
      <c r="Z146">
        <f t="shared" si="88"/>
        <v>4</v>
      </c>
      <c r="AA146">
        <f t="shared" si="89"/>
        <v>4</v>
      </c>
      <c r="AB146">
        <f t="shared" si="90"/>
        <v>19</v>
      </c>
      <c r="AC146">
        <f t="shared" si="91"/>
        <v>16</v>
      </c>
      <c r="AD146">
        <v>2</v>
      </c>
      <c r="AE146">
        <v>1</v>
      </c>
      <c r="AF146" t="s">
        <v>285</v>
      </c>
      <c r="AG146">
        <v>0</v>
      </c>
      <c r="AH146">
        <f t="shared" si="92"/>
        <v>1</v>
      </c>
      <c r="AI146">
        <f t="shared" si="93"/>
        <v>0</v>
      </c>
      <c r="AJ146">
        <v>1</v>
      </c>
      <c r="AK146">
        <v>2</v>
      </c>
      <c r="AL146">
        <f t="shared" si="94"/>
        <v>0</v>
      </c>
      <c r="AM146">
        <f t="shared" si="95"/>
        <v>2</v>
      </c>
      <c r="AN146">
        <v>0</v>
      </c>
      <c r="AO146" t="s">
        <v>97</v>
      </c>
      <c r="AP146">
        <f t="shared" si="96"/>
        <v>1</v>
      </c>
      <c r="AQ146">
        <f t="shared" si="97"/>
        <v>2</v>
      </c>
      <c r="AR146" t="str">
        <f t="shared" si="98"/>
        <v>Derrota</v>
      </c>
      <c r="AS146" s="3" t="str">
        <f t="shared" si="99"/>
        <v>Derrota ajustada</v>
      </c>
    </row>
    <row r="147" spans="1:45" x14ac:dyDescent="0.3">
      <c r="A147" t="s">
        <v>300</v>
      </c>
      <c r="B147">
        <f t="shared" si="80"/>
        <v>2024</v>
      </c>
      <c r="C147" t="str">
        <f t="shared" si="81"/>
        <v>Apr</v>
      </c>
      <c r="D147" t="str" cm="1">
        <f t="array" ref="D147">_xlfn.IFS(OR(C147="Dec", C147="Jan", C147="Feb"), "Invierno", OR(C147="Mar", C147="Apr", C147="May"), "Primavera", OR(C147="Jun", C147="Jul", C147="Aug"), "Verano", OR(C147="Sep", C147="Oct", C147="Nov"), "Otoño")</f>
        <v>Primavera</v>
      </c>
      <c r="E147" t="s">
        <v>22</v>
      </c>
      <c r="F147" t="s">
        <v>38</v>
      </c>
      <c r="G147" t="s">
        <v>68</v>
      </c>
      <c r="H147" t="s">
        <v>32</v>
      </c>
      <c r="I147" t="s">
        <v>88</v>
      </c>
      <c r="J147">
        <v>16</v>
      </c>
      <c r="K147">
        <v>13</v>
      </c>
      <c r="L147">
        <f t="shared" si="82"/>
        <v>16</v>
      </c>
      <c r="M147">
        <f t="shared" si="83"/>
        <v>13</v>
      </c>
      <c r="N147">
        <v>3</v>
      </c>
      <c r="O147">
        <v>7</v>
      </c>
      <c r="P147">
        <f t="shared" si="84"/>
        <v>3</v>
      </c>
      <c r="Q147">
        <f t="shared" si="85"/>
        <v>7</v>
      </c>
      <c r="R147">
        <v>59</v>
      </c>
      <c r="S147">
        <v>41</v>
      </c>
      <c r="T147" s="10">
        <f t="shared" si="86"/>
        <v>59</v>
      </c>
      <c r="U147">
        <f t="shared" si="87"/>
        <v>41</v>
      </c>
      <c r="V147">
        <v>5</v>
      </c>
      <c r="W147">
        <v>4</v>
      </c>
      <c r="X147">
        <v>6</v>
      </c>
      <c r="Y147">
        <v>10</v>
      </c>
      <c r="Z147">
        <f t="shared" si="88"/>
        <v>5</v>
      </c>
      <c r="AA147">
        <f t="shared" si="89"/>
        <v>4</v>
      </c>
      <c r="AB147">
        <f t="shared" si="90"/>
        <v>6</v>
      </c>
      <c r="AC147">
        <f t="shared" si="91"/>
        <v>10</v>
      </c>
      <c r="AD147">
        <v>2</v>
      </c>
      <c r="AE147">
        <v>2</v>
      </c>
      <c r="AF147" t="s">
        <v>96</v>
      </c>
      <c r="AG147">
        <v>2</v>
      </c>
      <c r="AH147">
        <f t="shared" si="92"/>
        <v>2</v>
      </c>
      <c r="AI147">
        <f t="shared" si="93"/>
        <v>0</v>
      </c>
      <c r="AJ147">
        <v>0</v>
      </c>
      <c r="AK147">
        <v>0</v>
      </c>
      <c r="AL147">
        <f t="shared" si="94"/>
        <v>0</v>
      </c>
      <c r="AM147">
        <f t="shared" si="95"/>
        <v>2</v>
      </c>
      <c r="AN147">
        <v>2</v>
      </c>
      <c r="AO147" t="s">
        <v>78</v>
      </c>
      <c r="AP147">
        <f t="shared" si="96"/>
        <v>2</v>
      </c>
      <c r="AQ147">
        <f t="shared" si="97"/>
        <v>2</v>
      </c>
      <c r="AR147" t="str">
        <f t="shared" si="98"/>
        <v>Empate</v>
      </c>
      <c r="AS147" s="3" t="str">
        <f t="shared" si="99"/>
        <v>Empate</v>
      </c>
    </row>
    <row r="148" spans="1:45" x14ac:dyDescent="0.3">
      <c r="A148" t="s">
        <v>301</v>
      </c>
      <c r="B148">
        <f t="shared" si="80"/>
        <v>2024</v>
      </c>
      <c r="C148" t="str">
        <f t="shared" si="81"/>
        <v>Apr</v>
      </c>
      <c r="D148" t="str" cm="1">
        <f t="array" ref="D148">_xlfn.IFS(OR(C148="Dec", C148="Jan", C148="Feb"), "Invierno", OR(C148="Mar", C148="Apr", C148="May"), "Primavera", OR(C148="Jun", C148="Jul", C148="Aug"), "Verano", OR(C148="Sep", C148="Oct", C148="Nov"), "Otoño")</f>
        <v>Primavera</v>
      </c>
      <c r="E148" t="s">
        <v>22</v>
      </c>
      <c r="F148" t="s">
        <v>23</v>
      </c>
      <c r="G148" t="s">
        <v>219</v>
      </c>
      <c r="H148" t="s">
        <v>32</v>
      </c>
      <c r="I148" t="s">
        <v>54</v>
      </c>
      <c r="J148">
        <v>17</v>
      </c>
      <c r="K148">
        <v>12</v>
      </c>
      <c r="L148">
        <f t="shared" si="82"/>
        <v>12</v>
      </c>
      <c r="M148">
        <f t="shared" si="83"/>
        <v>17</v>
      </c>
      <c r="N148">
        <v>4</v>
      </c>
      <c r="O148">
        <v>1</v>
      </c>
      <c r="P148">
        <f t="shared" si="84"/>
        <v>1</v>
      </c>
      <c r="Q148">
        <f t="shared" si="85"/>
        <v>4</v>
      </c>
      <c r="R148">
        <v>58</v>
      </c>
      <c r="S148">
        <v>42</v>
      </c>
      <c r="T148" s="10">
        <f t="shared" si="86"/>
        <v>42</v>
      </c>
      <c r="U148">
        <f t="shared" si="87"/>
        <v>58</v>
      </c>
      <c r="V148">
        <v>2</v>
      </c>
      <c r="W148">
        <v>8</v>
      </c>
      <c r="X148">
        <v>8</v>
      </c>
      <c r="Y148">
        <v>13</v>
      </c>
      <c r="Z148">
        <f t="shared" si="88"/>
        <v>8</v>
      </c>
      <c r="AA148">
        <f t="shared" si="89"/>
        <v>2</v>
      </c>
      <c r="AB148">
        <f t="shared" si="90"/>
        <v>13</v>
      </c>
      <c r="AC148">
        <f t="shared" si="91"/>
        <v>8</v>
      </c>
      <c r="AD148">
        <v>0</v>
      </c>
      <c r="AE148">
        <v>1</v>
      </c>
      <c r="AF148" t="s">
        <v>146</v>
      </c>
      <c r="AG148">
        <v>0</v>
      </c>
      <c r="AH148">
        <f t="shared" si="92"/>
        <v>0</v>
      </c>
      <c r="AI148">
        <f t="shared" si="93"/>
        <v>0</v>
      </c>
      <c r="AJ148">
        <v>0</v>
      </c>
      <c r="AK148">
        <v>1</v>
      </c>
      <c r="AL148">
        <f t="shared" si="94"/>
        <v>2</v>
      </c>
      <c r="AM148">
        <f t="shared" si="95"/>
        <v>1</v>
      </c>
      <c r="AN148">
        <v>2</v>
      </c>
      <c r="AO148" t="s">
        <v>141</v>
      </c>
      <c r="AP148">
        <f t="shared" si="96"/>
        <v>2</v>
      </c>
      <c r="AQ148">
        <f t="shared" si="97"/>
        <v>1</v>
      </c>
      <c r="AR148" t="str">
        <f t="shared" si="98"/>
        <v>Victoria</v>
      </c>
      <c r="AS148" s="3" t="str">
        <f t="shared" si="99"/>
        <v>Victoria ajustada</v>
      </c>
    </row>
    <row r="149" spans="1:45" x14ac:dyDescent="0.3">
      <c r="A149" t="s">
        <v>302</v>
      </c>
      <c r="B149">
        <f t="shared" si="80"/>
        <v>2024</v>
      </c>
      <c r="C149" t="str">
        <f t="shared" si="81"/>
        <v>Apr</v>
      </c>
      <c r="D149" t="str" cm="1">
        <f t="array" ref="D149">_xlfn.IFS(OR(C149="Dec", C149="Jan", C149="Feb"), "Invierno", OR(C149="Mar", C149="Apr", C149="May"), "Primavera", OR(C149="Jun", C149="Jul", C149="Aug"), "Verano", OR(C149="Sep", C149="Oct", C149="Nov"), "Otoño")</f>
        <v>Primavera</v>
      </c>
      <c r="E149" t="s">
        <v>62</v>
      </c>
      <c r="F149" t="s">
        <v>38</v>
      </c>
      <c r="G149" t="s">
        <v>166</v>
      </c>
      <c r="H149" t="s">
        <v>25</v>
      </c>
      <c r="I149" t="s">
        <v>150</v>
      </c>
      <c r="J149">
        <v>17</v>
      </c>
      <c r="K149">
        <v>11</v>
      </c>
      <c r="L149">
        <f t="shared" si="82"/>
        <v>17</v>
      </c>
      <c r="M149">
        <f t="shared" si="83"/>
        <v>11</v>
      </c>
      <c r="N149">
        <v>2</v>
      </c>
      <c r="O149">
        <v>3</v>
      </c>
      <c r="P149">
        <f t="shared" si="84"/>
        <v>2</v>
      </c>
      <c r="Q149">
        <f t="shared" si="85"/>
        <v>3</v>
      </c>
      <c r="R149">
        <v>59</v>
      </c>
      <c r="S149">
        <v>41</v>
      </c>
      <c r="T149" s="10">
        <f t="shared" si="86"/>
        <v>59</v>
      </c>
      <c r="U149">
        <f t="shared" si="87"/>
        <v>41</v>
      </c>
      <c r="V149">
        <v>8</v>
      </c>
      <c r="W149">
        <v>1</v>
      </c>
      <c r="X149">
        <v>19</v>
      </c>
      <c r="Y149">
        <v>14</v>
      </c>
      <c r="Z149">
        <f t="shared" si="88"/>
        <v>8</v>
      </c>
      <c r="AA149">
        <f t="shared" si="89"/>
        <v>1</v>
      </c>
      <c r="AB149">
        <f t="shared" si="90"/>
        <v>19</v>
      </c>
      <c r="AC149">
        <f t="shared" si="91"/>
        <v>14</v>
      </c>
      <c r="AD149">
        <v>1</v>
      </c>
      <c r="AE149">
        <v>1</v>
      </c>
      <c r="AF149" t="s">
        <v>140</v>
      </c>
      <c r="AG149">
        <v>0</v>
      </c>
      <c r="AH149">
        <f t="shared" si="92"/>
        <v>0</v>
      </c>
      <c r="AI149">
        <f t="shared" si="93"/>
        <v>1</v>
      </c>
      <c r="AJ149">
        <v>1</v>
      </c>
      <c r="AK149">
        <v>0</v>
      </c>
      <c r="AL149">
        <f t="shared" si="94"/>
        <v>0</v>
      </c>
      <c r="AM149">
        <f t="shared" si="95"/>
        <v>1</v>
      </c>
      <c r="AN149">
        <v>1</v>
      </c>
      <c r="AO149" t="s">
        <v>97</v>
      </c>
      <c r="AP149">
        <f t="shared" si="96"/>
        <v>0</v>
      </c>
      <c r="AQ149">
        <f t="shared" si="97"/>
        <v>2</v>
      </c>
      <c r="AR149" t="str">
        <f t="shared" si="98"/>
        <v>Derrota</v>
      </c>
      <c r="AS149" s="3" t="str">
        <f t="shared" si="99"/>
        <v>Derrota ajustada</v>
      </c>
    </row>
    <row r="150" spans="1:45" x14ac:dyDescent="0.3">
      <c r="A150" t="s">
        <v>303</v>
      </c>
      <c r="B150">
        <f t="shared" si="80"/>
        <v>2024</v>
      </c>
      <c r="C150" t="str">
        <f t="shared" si="81"/>
        <v>May</v>
      </c>
      <c r="D150" t="str" cm="1">
        <f t="array" ref="D150">_xlfn.IFS(OR(C150="Dec", C150="Jan", C150="Feb"), "Invierno", OR(C150="Mar", C150="Apr", C150="May"), "Primavera", OR(C150="Jun", C150="Jul", C150="Aug"), "Verano", OR(C150="Sep", C150="Oct", C150="Nov"), "Otoño")</f>
        <v>Primavera</v>
      </c>
      <c r="E150" t="s">
        <v>62</v>
      </c>
      <c r="F150" t="s">
        <v>23</v>
      </c>
      <c r="G150" t="s">
        <v>158</v>
      </c>
      <c r="H150" t="s">
        <v>25</v>
      </c>
      <c r="I150" t="s">
        <v>54</v>
      </c>
      <c r="J150">
        <v>9</v>
      </c>
      <c r="K150">
        <v>17</v>
      </c>
      <c r="L150">
        <f t="shared" si="82"/>
        <v>17</v>
      </c>
      <c r="M150">
        <f t="shared" si="83"/>
        <v>9</v>
      </c>
      <c r="N150">
        <v>2</v>
      </c>
      <c r="O150">
        <v>1</v>
      </c>
      <c r="P150">
        <f t="shared" si="84"/>
        <v>1</v>
      </c>
      <c r="Q150">
        <f t="shared" si="85"/>
        <v>2</v>
      </c>
      <c r="R150">
        <v>31</v>
      </c>
      <c r="S150">
        <v>69</v>
      </c>
      <c r="T150" s="10">
        <f t="shared" si="86"/>
        <v>69</v>
      </c>
      <c r="U150">
        <f t="shared" si="87"/>
        <v>31</v>
      </c>
      <c r="V150">
        <v>1</v>
      </c>
      <c r="W150">
        <v>7</v>
      </c>
      <c r="X150">
        <v>12</v>
      </c>
      <c r="Y150">
        <v>10</v>
      </c>
      <c r="Z150">
        <f t="shared" si="88"/>
        <v>7</v>
      </c>
      <c r="AA150">
        <f t="shared" si="89"/>
        <v>1</v>
      </c>
      <c r="AB150">
        <f t="shared" si="90"/>
        <v>10</v>
      </c>
      <c r="AC150">
        <f t="shared" si="91"/>
        <v>12</v>
      </c>
      <c r="AD150">
        <v>0</v>
      </c>
      <c r="AE150">
        <v>3</v>
      </c>
      <c r="AF150" t="s">
        <v>270</v>
      </c>
      <c r="AG150">
        <v>1</v>
      </c>
      <c r="AH150">
        <f t="shared" si="92"/>
        <v>0</v>
      </c>
      <c r="AI150">
        <f t="shared" si="93"/>
        <v>1</v>
      </c>
      <c r="AJ150">
        <v>0</v>
      </c>
      <c r="AK150">
        <v>0</v>
      </c>
      <c r="AL150">
        <f t="shared" si="94"/>
        <v>2</v>
      </c>
      <c r="AM150">
        <f t="shared" si="95"/>
        <v>0</v>
      </c>
      <c r="AN150">
        <v>2</v>
      </c>
      <c r="AO150" t="s">
        <v>56</v>
      </c>
      <c r="AP150">
        <f t="shared" si="96"/>
        <v>2</v>
      </c>
      <c r="AQ150">
        <f t="shared" si="97"/>
        <v>1</v>
      </c>
      <c r="AR150" t="str">
        <f t="shared" si="98"/>
        <v>Victoria</v>
      </c>
      <c r="AS150" s="3" t="str">
        <f t="shared" si="99"/>
        <v>Victoria ajustada</v>
      </c>
    </row>
    <row r="151" spans="1:45" x14ac:dyDescent="0.3">
      <c r="A151" t="s">
        <v>304</v>
      </c>
      <c r="B151">
        <f t="shared" si="80"/>
        <v>2024</v>
      </c>
      <c r="C151" t="str">
        <f t="shared" si="81"/>
        <v>May</v>
      </c>
      <c r="D151" t="str" cm="1">
        <f t="array" ref="D151">_xlfn.IFS(OR(C151="Dec", C151="Jan", C151="Feb"), "Invierno", OR(C151="Mar", C151="Apr", C151="May"), "Primavera", OR(C151="Jun", C151="Jul", C151="Aug"), "Verano", OR(C151="Sep", C151="Oct", C151="Nov"), "Otoño")</f>
        <v>Primavera</v>
      </c>
      <c r="E151" t="s">
        <v>22</v>
      </c>
      <c r="F151" t="s">
        <v>38</v>
      </c>
      <c r="G151" t="s">
        <v>83</v>
      </c>
      <c r="H151" t="s">
        <v>25</v>
      </c>
      <c r="I151" t="s">
        <v>161</v>
      </c>
      <c r="J151">
        <v>24</v>
      </c>
      <c r="K151">
        <v>9</v>
      </c>
      <c r="L151">
        <f t="shared" si="82"/>
        <v>24</v>
      </c>
      <c r="M151">
        <f t="shared" si="83"/>
        <v>9</v>
      </c>
      <c r="N151">
        <v>5</v>
      </c>
      <c r="O151">
        <v>6</v>
      </c>
      <c r="P151">
        <f t="shared" si="84"/>
        <v>5</v>
      </c>
      <c r="Q151">
        <f t="shared" si="85"/>
        <v>6</v>
      </c>
      <c r="R151">
        <v>57</v>
      </c>
      <c r="S151">
        <v>43</v>
      </c>
      <c r="T151" s="10">
        <f t="shared" si="86"/>
        <v>57</v>
      </c>
      <c r="U151">
        <f t="shared" si="87"/>
        <v>43</v>
      </c>
      <c r="V151">
        <v>6</v>
      </c>
      <c r="W151">
        <v>1</v>
      </c>
      <c r="X151">
        <v>11</v>
      </c>
      <c r="Y151">
        <v>11</v>
      </c>
      <c r="Z151">
        <f t="shared" si="88"/>
        <v>6</v>
      </c>
      <c r="AA151">
        <f t="shared" si="89"/>
        <v>1</v>
      </c>
      <c r="AB151">
        <f t="shared" si="90"/>
        <v>11</v>
      </c>
      <c r="AC151">
        <f t="shared" si="91"/>
        <v>11</v>
      </c>
      <c r="AD151">
        <v>2</v>
      </c>
      <c r="AE151">
        <v>1</v>
      </c>
      <c r="AF151" t="s">
        <v>173</v>
      </c>
      <c r="AG151">
        <v>2</v>
      </c>
      <c r="AH151">
        <f t="shared" si="92"/>
        <v>2</v>
      </c>
      <c r="AI151">
        <f t="shared" si="93"/>
        <v>0</v>
      </c>
      <c r="AJ151">
        <v>0</v>
      </c>
      <c r="AK151">
        <v>0</v>
      </c>
      <c r="AL151">
        <f t="shared" si="94"/>
        <v>0</v>
      </c>
      <c r="AM151">
        <f t="shared" si="95"/>
        <v>1</v>
      </c>
      <c r="AN151">
        <v>1</v>
      </c>
      <c r="AO151" t="s">
        <v>28</v>
      </c>
      <c r="AP151">
        <f t="shared" si="96"/>
        <v>2</v>
      </c>
      <c r="AQ151">
        <f t="shared" si="97"/>
        <v>1</v>
      </c>
      <c r="AR151" t="str">
        <f t="shared" si="98"/>
        <v>Victoria</v>
      </c>
      <c r="AS151" s="3" t="str">
        <f t="shared" si="99"/>
        <v>Victoria ajustada</v>
      </c>
    </row>
    <row r="152" spans="1:45" x14ac:dyDescent="0.3">
      <c r="A152" t="s">
        <v>305</v>
      </c>
      <c r="B152">
        <f t="shared" si="80"/>
        <v>2024</v>
      </c>
      <c r="C152" t="str">
        <f t="shared" si="81"/>
        <v>May</v>
      </c>
      <c r="D152" t="str" cm="1">
        <f t="array" ref="D152">_xlfn.IFS(OR(C152="Dec", C152="Jan", C152="Feb"), "Invierno", OR(C152="Mar", C152="Apr", C152="May"), "Primavera", OR(C152="Jun", C152="Jul", C152="Aug"), "Verano", OR(C152="Sep", C152="Oct", C152="Nov"), "Otoño")</f>
        <v>Primavera</v>
      </c>
      <c r="E152" t="s">
        <v>62</v>
      </c>
      <c r="F152" t="s">
        <v>23</v>
      </c>
      <c r="G152" t="s">
        <v>232</v>
      </c>
      <c r="H152" t="s">
        <v>32</v>
      </c>
      <c r="I152" t="s">
        <v>69</v>
      </c>
      <c r="J152">
        <v>11</v>
      </c>
      <c r="K152">
        <v>19</v>
      </c>
      <c r="L152">
        <f t="shared" si="82"/>
        <v>19</v>
      </c>
      <c r="M152">
        <f t="shared" si="83"/>
        <v>11</v>
      </c>
      <c r="N152">
        <v>7</v>
      </c>
      <c r="O152">
        <v>3</v>
      </c>
      <c r="P152">
        <f t="shared" si="84"/>
        <v>3</v>
      </c>
      <c r="Q152">
        <f t="shared" si="85"/>
        <v>7</v>
      </c>
      <c r="R152">
        <v>44</v>
      </c>
      <c r="S152">
        <v>56</v>
      </c>
      <c r="T152" s="10">
        <f t="shared" si="86"/>
        <v>56</v>
      </c>
      <c r="U152">
        <f t="shared" si="87"/>
        <v>44</v>
      </c>
      <c r="V152">
        <v>2</v>
      </c>
      <c r="W152">
        <v>5</v>
      </c>
      <c r="X152">
        <v>7</v>
      </c>
      <c r="Y152">
        <v>20</v>
      </c>
      <c r="Z152">
        <f t="shared" si="88"/>
        <v>5</v>
      </c>
      <c r="AA152">
        <f t="shared" si="89"/>
        <v>2</v>
      </c>
      <c r="AB152">
        <f t="shared" si="90"/>
        <v>20</v>
      </c>
      <c r="AC152">
        <f t="shared" si="91"/>
        <v>7</v>
      </c>
      <c r="AD152">
        <v>1</v>
      </c>
      <c r="AE152">
        <v>0</v>
      </c>
      <c r="AF152" t="s">
        <v>285</v>
      </c>
      <c r="AG152">
        <v>0</v>
      </c>
      <c r="AH152">
        <f t="shared" si="92"/>
        <v>0</v>
      </c>
      <c r="AI152">
        <f t="shared" si="93"/>
        <v>0</v>
      </c>
      <c r="AJ152">
        <v>0</v>
      </c>
      <c r="AK152">
        <v>0</v>
      </c>
      <c r="AL152">
        <f t="shared" si="94"/>
        <v>2</v>
      </c>
      <c r="AM152">
        <f t="shared" si="95"/>
        <v>0</v>
      </c>
      <c r="AN152">
        <v>2</v>
      </c>
      <c r="AO152" t="s">
        <v>66</v>
      </c>
      <c r="AP152">
        <f t="shared" si="96"/>
        <v>2</v>
      </c>
      <c r="AQ152">
        <f t="shared" si="97"/>
        <v>0</v>
      </c>
      <c r="AR152" t="str">
        <f t="shared" si="98"/>
        <v>Victoria</v>
      </c>
      <c r="AS152" s="3" t="str">
        <f t="shared" si="99"/>
        <v>Victoria dominante</v>
      </c>
    </row>
    <row r="153" spans="1:45" x14ac:dyDescent="0.3">
      <c r="A153" t="s">
        <v>306</v>
      </c>
      <c r="B153">
        <f t="shared" si="80"/>
        <v>2024</v>
      </c>
      <c r="C153" t="str">
        <f t="shared" si="81"/>
        <v>May</v>
      </c>
      <c r="D153" t="str" cm="1">
        <f t="array" ref="D153">_xlfn.IFS(OR(C153="Dec", C153="Jan", C153="Feb"), "Invierno", OR(C153="Mar", C153="Apr", C153="May"), "Primavera", OR(C153="Jun", C153="Jul", C153="Aug"), "Verano", OR(C153="Sep", C153="Oct", C153="Nov"), "Otoño")</f>
        <v>Primavera</v>
      </c>
      <c r="E153" t="s">
        <v>62</v>
      </c>
      <c r="F153" t="s">
        <v>38</v>
      </c>
      <c r="G153" t="s">
        <v>31</v>
      </c>
      <c r="H153" t="s">
        <v>25</v>
      </c>
      <c r="I153" t="s">
        <v>76</v>
      </c>
      <c r="J153">
        <v>18</v>
      </c>
      <c r="K153">
        <v>8</v>
      </c>
      <c r="L153">
        <f t="shared" si="82"/>
        <v>18</v>
      </c>
      <c r="M153">
        <f t="shared" si="83"/>
        <v>8</v>
      </c>
      <c r="N153">
        <v>1</v>
      </c>
      <c r="O153">
        <v>4</v>
      </c>
      <c r="P153">
        <f t="shared" si="84"/>
        <v>1</v>
      </c>
      <c r="Q153">
        <f t="shared" si="85"/>
        <v>4</v>
      </c>
      <c r="R153">
        <v>40</v>
      </c>
      <c r="S153">
        <v>60</v>
      </c>
      <c r="T153" s="10">
        <f t="shared" si="86"/>
        <v>40</v>
      </c>
      <c r="U153">
        <f t="shared" si="87"/>
        <v>60</v>
      </c>
      <c r="V153">
        <v>2</v>
      </c>
      <c r="W153">
        <v>5</v>
      </c>
      <c r="X153">
        <v>18</v>
      </c>
      <c r="Y153">
        <v>10</v>
      </c>
      <c r="Z153">
        <f t="shared" si="88"/>
        <v>2</v>
      </c>
      <c r="AA153">
        <f t="shared" si="89"/>
        <v>5</v>
      </c>
      <c r="AB153">
        <f t="shared" si="90"/>
        <v>18</v>
      </c>
      <c r="AC153">
        <f t="shared" si="91"/>
        <v>10</v>
      </c>
      <c r="AD153">
        <v>1</v>
      </c>
      <c r="AE153">
        <v>3</v>
      </c>
      <c r="AF153" t="s">
        <v>119</v>
      </c>
      <c r="AG153">
        <v>1</v>
      </c>
      <c r="AH153">
        <f t="shared" si="92"/>
        <v>1</v>
      </c>
      <c r="AI153">
        <f t="shared" si="93"/>
        <v>0</v>
      </c>
      <c r="AJ153">
        <v>0</v>
      </c>
      <c r="AK153">
        <v>2</v>
      </c>
      <c r="AL153">
        <f t="shared" si="94"/>
        <v>2</v>
      </c>
      <c r="AM153">
        <f t="shared" si="95"/>
        <v>0</v>
      </c>
      <c r="AN153">
        <v>0</v>
      </c>
      <c r="AO153" t="s">
        <v>71</v>
      </c>
      <c r="AP153">
        <f t="shared" si="96"/>
        <v>3</v>
      </c>
      <c r="AQ153">
        <f t="shared" si="97"/>
        <v>0</v>
      </c>
      <c r="AR153" t="str">
        <f t="shared" si="98"/>
        <v>Victoria</v>
      </c>
      <c r="AS153" s="3" t="str">
        <f t="shared" si="99"/>
        <v>Victoria dominante</v>
      </c>
    </row>
    <row r="154" spans="1:45" x14ac:dyDescent="0.3">
      <c r="A154" t="s">
        <v>307</v>
      </c>
      <c r="B154">
        <f t="shared" si="80"/>
        <v>2024</v>
      </c>
      <c r="C154" t="str">
        <f t="shared" si="81"/>
        <v>Aug</v>
      </c>
      <c r="D154" t="str" cm="1">
        <f t="array" ref="D154">_xlfn.IFS(OR(C154="Dec", C154="Jan", C154="Feb"), "Invierno", OR(C154="Mar", C154="Apr", C154="May"), "Primavera", OR(C154="Jun", C154="Jul", C154="Aug"), "Verano", OR(C154="Sep", C154="Oct", C154="Nov"), "Otoño")</f>
        <v>Verano</v>
      </c>
      <c r="E154" t="s">
        <v>80</v>
      </c>
      <c r="F154" t="s">
        <v>23</v>
      </c>
      <c r="G154" t="s">
        <v>232</v>
      </c>
      <c r="H154" t="s">
        <v>32</v>
      </c>
      <c r="I154" t="s">
        <v>308</v>
      </c>
      <c r="J154">
        <v>21</v>
      </c>
      <c r="K154">
        <v>11</v>
      </c>
      <c r="L154">
        <f t="shared" si="82"/>
        <v>11</v>
      </c>
      <c r="M154">
        <f t="shared" si="83"/>
        <v>21</v>
      </c>
      <c r="N154">
        <v>2</v>
      </c>
      <c r="O154">
        <v>4</v>
      </c>
      <c r="P154">
        <f t="shared" si="84"/>
        <v>4</v>
      </c>
      <c r="Q154">
        <f t="shared" si="85"/>
        <v>2</v>
      </c>
      <c r="R154">
        <v>47</v>
      </c>
      <c r="S154">
        <v>53</v>
      </c>
      <c r="T154" s="10">
        <f t="shared" si="86"/>
        <v>53</v>
      </c>
      <c r="U154">
        <f t="shared" si="87"/>
        <v>47</v>
      </c>
      <c r="V154">
        <v>5</v>
      </c>
      <c r="W154">
        <v>3</v>
      </c>
      <c r="X154">
        <v>10</v>
      </c>
      <c r="Y154">
        <v>24</v>
      </c>
      <c r="Z154">
        <f t="shared" si="88"/>
        <v>3</v>
      </c>
      <c r="AA154">
        <f t="shared" si="89"/>
        <v>5</v>
      </c>
      <c r="AB154">
        <f t="shared" si="90"/>
        <v>24</v>
      </c>
      <c r="AC154">
        <f t="shared" si="91"/>
        <v>10</v>
      </c>
      <c r="AD154">
        <v>1</v>
      </c>
      <c r="AE154">
        <v>1</v>
      </c>
      <c r="AF154" t="s">
        <v>70</v>
      </c>
      <c r="AG154">
        <v>0</v>
      </c>
      <c r="AH154">
        <f t="shared" si="92"/>
        <v>1</v>
      </c>
      <c r="AI154">
        <f t="shared" si="93"/>
        <v>0</v>
      </c>
      <c r="AJ154">
        <v>1</v>
      </c>
      <c r="AK154">
        <v>0</v>
      </c>
      <c r="AL154">
        <f t="shared" si="94"/>
        <v>3</v>
      </c>
      <c r="AM154">
        <f t="shared" si="95"/>
        <v>0</v>
      </c>
      <c r="AN154">
        <v>3</v>
      </c>
      <c r="AO154" t="s">
        <v>78</v>
      </c>
      <c r="AP154">
        <f t="shared" si="96"/>
        <v>4</v>
      </c>
      <c r="AQ154">
        <f t="shared" si="97"/>
        <v>0</v>
      </c>
      <c r="AR154" t="str">
        <f t="shared" si="98"/>
        <v>Victoria</v>
      </c>
      <c r="AS154" s="3" t="str">
        <f t="shared" si="99"/>
        <v>Victoria dominante</v>
      </c>
    </row>
    <row r="155" spans="1:45" x14ac:dyDescent="0.3">
      <c r="A155" t="s">
        <v>309</v>
      </c>
      <c r="B155">
        <f t="shared" si="80"/>
        <v>2024</v>
      </c>
      <c r="C155" t="str">
        <f t="shared" si="81"/>
        <v>Aug</v>
      </c>
      <c r="D155" t="str" cm="1">
        <f t="array" ref="D155">_xlfn.IFS(OR(C155="Dec", C155="Jan", C155="Feb"), "Invierno", OR(C155="Mar", C155="Apr", C155="May"), "Primavera", OR(C155="Jun", C155="Jul", C155="Aug"), "Verano", OR(C155="Sep", C155="Oct", C155="Nov"), "Otoño")</f>
        <v>Verano</v>
      </c>
      <c r="E155" t="s">
        <v>80</v>
      </c>
      <c r="F155" t="s">
        <v>23</v>
      </c>
      <c r="G155" t="s">
        <v>31</v>
      </c>
      <c r="H155" t="s">
        <v>25</v>
      </c>
      <c r="I155" t="s">
        <v>161</v>
      </c>
      <c r="J155">
        <v>13</v>
      </c>
      <c r="K155">
        <v>25</v>
      </c>
      <c r="L155">
        <f t="shared" si="82"/>
        <v>25</v>
      </c>
      <c r="M155">
        <f t="shared" si="83"/>
        <v>13</v>
      </c>
      <c r="N155">
        <v>8</v>
      </c>
      <c r="O155">
        <v>4</v>
      </c>
      <c r="P155">
        <f t="shared" si="84"/>
        <v>4</v>
      </c>
      <c r="Q155">
        <f t="shared" si="85"/>
        <v>8</v>
      </c>
      <c r="R155">
        <v>42</v>
      </c>
      <c r="S155">
        <v>58</v>
      </c>
      <c r="T155" s="10">
        <f t="shared" si="86"/>
        <v>58</v>
      </c>
      <c r="U155">
        <f t="shared" si="87"/>
        <v>42</v>
      </c>
      <c r="V155">
        <v>4</v>
      </c>
      <c r="W155">
        <v>6</v>
      </c>
      <c r="X155">
        <v>11</v>
      </c>
      <c r="Y155">
        <v>14</v>
      </c>
      <c r="Z155">
        <f t="shared" si="88"/>
        <v>6</v>
      </c>
      <c r="AA155">
        <f t="shared" si="89"/>
        <v>4</v>
      </c>
      <c r="AB155">
        <f t="shared" si="90"/>
        <v>14</v>
      </c>
      <c r="AC155">
        <f t="shared" si="91"/>
        <v>11</v>
      </c>
      <c r="AD155">
        <v>1</v>
      </c>
      <c r="AE155">
        <v>0</v>
      </c>
      <c r="AF155" t="s">
        <v>285</v>
      </c>
      <c r="AG155">
        <v>1</v>
      </c>
      <c r="AH155">
        <f t="shared" si="92"/>
        <v>1</v>
      </c>
      <c r="AI155">
        <f t="shared" si="93"/>
        <v>1</v>
      </c>
      <c r="AJ155">
        <v>1</v>
      </c>
      <c r="AK155">
        <v>1</v>
      </c>
      <c r="AL155">
        <f t="shared" si="94"/>
        <v>0</v>
      </c>
      <c r="AM155">
        <f t="shared" si="95"/>
        <v>1</v>
      </c>
      <c r="AN155">
        <v>0</v>
      </c>
      <c r="AO155" t="s">
        <v>137</v>
      </c>
      <c r="AP155">
        <f t="shared" si="96"/>
        <v>1</v>
      </c>
      <c r="AQ155">
        <f t="shared" si="97"/>
        <v>2</v>
      </c>
      <c r="AR155" t="str">
        <f t="shared" si="98"/>
        <v>Derrota</v>
      </c>
      <c r="AS155" s="3" t="str">
        <f t="shared" si="99"/>
        <v>Derrota ajustada</v>
      </c>
    </row>
    <row r="156" spans="1:45" x14ac:dyDescent="0.3">
      <c r="A156" t="s">
        <v>310</v>
      </c>
      <c r="B156">
        <f t="shared" si="80"/>
        <v>2024</v>
      </c>
      <c r="C156" t="str">
        <f t="shared" si="81"/>
        <v>Aug</v>
      </c>
      <c r="D156" t="str" cm="1">
        <f t="array" ref="D156">_xlfn.IFS(OR(C156="Dec", C156="Jan", C156="Feb"), "Invierno", OR(C156="Mar", C156="Apr", C156="May"), "Primavera", OR(C156="Jun", C156="Jul", C156="Aug"), "Verano", OR(C156="Sep", C156="Oct", C156="Nov"), "Otoño")</f>
        <v>Verano</v>
      </c>
      <c r="E156" t="s">
        <v>22</v>
      </c>
      <c r="F156" t="s">
        <v>23</v>
      </c>
      <c r="G156" t="s">
        <v>58</v>
      </c>
      <c r="H156" t="s">
        <v>25</v>
      </c>
      <c r="I156" t="s">
        <v>180</v>
      </c>
      <c r="J156">
        <v>13</v>
      </c>
      <c r="K156">
        <v>11</v>
      </c>
      <c r="L156">
        <f t="shared" si="82"/>
        <v>11</v>
      </c>
      <c r="M156">
        <f t="shared" si="83"/>
        <v>13</v>
      </c>
      <c r="N156">
        <v>1</v>
      </c>
      <c r="O156">
        <v>1</v>
      </c>
      <c r="P156">
        <f t="shared" si="84"/>
        <v>1</v>
      </c>
      <c r="Q156">
        <f t="shared" si="85"/>
        <v>1</v>
      </c>
      <c r="R156">
        <v>55</v>
      </c>
      <c r="S156">
        <v>45</v>
      </c>
      <c r="T156" s="10">
        <f t="shared" si="86"/>
        <v>45</v>
      </c>
      <c r="U156">
        <f t="shared" si="87"/>
        <v>55</v>
      </c>
      <c r="V156">
        <v>3</v>
      </c>
      <c r="W156">
        <v>4</v>
      </c>
      <c r="X156">
        <v>6</v>
      </c>
      <c r="Y156">
        <v>15</v>
      </c>
      <c r="Z156">
        <f t="shared" si="88"/>
        <v>4</v>
      </c>
      <c r="AA156">
        <f t="shared" si="89"/>
        <v>3</v>
      </c>
      <c r="AB156">
        <f t="shared" si="90"/>
        <v>15</v>
      </c>
      <c r="AC156">
        <f t="shared" si="91"/>
        <v>6</v>
      </c>
      <c r="AD156">
        <v>5</v>
      </c>
      <c r="AE156">
        <v>1</v>
      </c>
      <c r="AF156" t="s">
        <v>263</v>
      </c>
      <c r="AG156">
        <v>2</v>
      </c>
      <c r="AH156">
        <f t="shared" si="92"/>
        <v>0</v>
      </c>
      <c r="AI156">
        <f t="shared" si="93"/>
        <v>2</v>
      </c>
      <c r="AJ156">
        <v>0</v>
      </c>
      <c r="AK156">
        <v>2</v>
      </c>
      <c r="AL156">
        <f t="shared" si="94"/>
        <v>0</v>
      </c>
      <c r="AM156">
        <f t="shared" si="95"/>
        <v>2</v>
      </c>
      <c r="AN156">
        <v>0</v>
      </c>
      <c r="AO156" t="s">
        <v>163</v>
      </c>
      <c r="AP156">
        <f t="shared" si="96"/>
        <v>0</v>
      </c>
      <c r="AQ156">
        <f t="shared" si="97"/>
        <v>4</v>
      </c>
      <c r="AR156" t="str">
        <f t="shared" si="98"/>
        <v>Derrota</v>
      </c>
      <c r="AS156" s="3" t="str">
        <f t="shared" si="99"/>
        <v>Derrota ajustada</v>
      </c>
    </row>
    <row r="157" spans="1:45" x14ac:dyDescent="0.3">
      <c r="A157" t="s">
        <v>311</v>
      </c>
      <c r="B157">
        <f t="shared" si="80"/>
        <v>2024</v>
      </c>
      <c r="C157" t="str">
        <f t="shared" si="81"/>
        <v>Sep</v>
      </c>
      <c r="D157" t="str" cm="1">
        <f t="array" ref="D157">_xlfn.IFS(OR(C157="Dec", C157="Jan", C157="Feb"), "Invierno", OR(C157="Mar", C157="Apr", C157="May"), "Primavera", OR(C157="Jun", C157="Jul", C157="Aug"), "Verano", OR(C157="Sep", C157="Oct", C157="Nov"), "Otoño")</f>
        <v>Otoño</v>
      </c>
      <c r="E157" t="s">
        <v>30</v>
      </c>
      <c r="F157" t="s">
        <v>38</v>
      </c>
      <c r="G157" t="s">
        <v>75</v>
      </c>
      <c r="H157" t="s">
        <v>25</v>
      </c>
      <c r="I157" t="s">
        <v>129</v>
      </c>
      <c r="J157">
        <v>13</v>
      </c>
      <c r="K157">
        <v>15</v>
      </c>
      <c r="L157">
        <f t="shared" si="82"/>
        <v>13</v>
      </c>
      <c r="M157">
        <f t="shared" si="83"/>
        <v>15</v>
      </c>
      <c r="N157">
        <v>4</v>
      </c>
      <c r="O157">
        <v>4</v>
      </c>
      <c r="P157">
        <f t="shared" si="84"/>
        <v>4</v>
      </c>
      <c r="Q157">
        <f t="shared" si="85"/>
        <v>4</v>
      </c>
      <c r="R157">
        <v>51</v>
      </c>
      <c r="S157">
        <v>49</v>
      </c>
      <c r="T157" s="10">
        <f t="shared" si="86"/>
        <v>51</v>
      </c>
      <c r="U157">
        <f t="shared" si="87"/>
        <v>49</v>
      </c>
      <c r="V157">
        <v>5</v>
      </c>
      <c r="W157">
        <v>2</v>
      </c>
      <c r="X157">
        <v>16</v>
      </c>
      <c r="Y157">
        <v>15</v>
      </c>
      <c r="Z157">
        <f t="shared" si="88"/>
        <v>5</v>
      </c>
      <c r="AA157">
        <f t="shared" si="89"/>
        <v>2</v>
      </c>
      <c r="AB157">
        <f t="shared" si="90"/>
        <v>16</v>
      </c>
      <c r="AC157">
        <f t="shared" si="91"/>
        <v>15</v>
      </c>
      <c r="AD157">
        <v>2</v>
      </c>
      <c r="AE157">
        <v>4</v>
      </c>
      <c r="AF157" t="s">
        <v>96</v>
      </c>
      <c r="AG157">
        <v>1</v>
      </c>
      <c r="AH157">
        <f t="shared" si="92"/>
        <v>1</v>
      </c>
      <c r="AI157">
        <f t="shared" si="93"/>
        <v>2</v>
      </c>
      <c r="AJ157">
        <v>2</v>
      </c>
      <c r="AK157">
        <v>2</v>
      </c>
      <c r="AL157">
        <f t="shared" si="94"/>
        <v>2</v>
      </c>
      <c r="AM157">
        <f t="shared" si="95"/>
        <v>0</v>
      </c>
      <c r="AN157">
        <v>0</v>
      </c>
      <c r="AO157" t="s">
        <v>141</v>
      </c>
      <c r="AP157">
        <f t="shared" si="96"/>
        <v>3</v>
      </c>
      <c r="AQ157">
        <f t="shared" si="97"/>
        <v>2</v>
      </c>
      <c r="AR157" t="str">
        <f t="shared" si="98"/>
        <v>Victoria</v>
      </c>
      <c r="AS157" s="3" t="str">
        <f t="shared" si="99"/>
        <v>Victoria ajustada</v>
      </c>
    </row>
    <row r="158" spans="1:45" x14ac:dyDescent="0.3">
      <c r="A158" t="s">
        <v>312</v>
      </c>
      <c r="B158">
        <f t="shared" si="80"/>
        <v>2024</v>
      </c>
      <c r="C158" t="str">
        <f t="shared" si="81"/>
        <v>Sep</v>
      </c>
      <c r="D158" t="str" cm="1">
        <f t="array" ref="D158">_xlfn.IFS(OR(C158="Dec", C158="Jan", C158="Feb"), "Invierno", OR(C158="Mar", C158="Apr", C158="May"), "Primavera", OR(C158="Jun", C158="Jul", C158="Aug"), "Verano", OR(C158="Sep", C158="Oct", C158="Nov"), "Otoño")</f>
        <v>Otoño</v>
      </c>
      <c r="E158" t="s">
        <v>22</v>
      </c>
      <c r="F158" t="s">
        <v>38</v>
      </c>
      <c r="G158" t="s">
        <v>352</v>
      </c>
      <c r="H158" t="s">
        <v>32</v>
      </c>
      <c r="I158" t="s">
        <v>132</v>
      </c>
      <c r="J158">
        <v>8</v>
      </c>
      <c r="K158">
        <v>14</v>
      </c>
      <c r="L158">
        <f t="shared" si="82"/>
        <v>8</v>
      </c>
      <c r="M158">
        <f t="shared" si="83"/>
        <v>14</v>
      </c>
      <c r="N158">
        <v>5</v>
      </c>
      <c r="O158">
        <v>3</v>
      </c>
      <c r="P158">
        <f t="shared" si="84"/>
        <v>5</v>
      </c>
      <c r="Q158">
        <f t="shared" si="85"/>
        <v>3</v>
      </c>
      <c r="R158">
        <v>59</v>
      </c>
      <c r="S158">
        <v>41</v>
      </c>
      <c r="T158" s="10">
        <f t="shared" si="86"/>
        <v>59</v>
      </c>
      <c r="U158">
        <f t="shared" si="87"/>
        <v>41</v>
      </c>
      <c r="V158">
        <v>6</v>
      </c>
      <c r="W158">
        <v>2</v>
      </c>
      <c r="X158">
        <v>12</v>
      </c>
      <c r="Y158">
        <v>17</v>
      </c>
      <c r="Z158">
        <f t="shared" si="88"/>
        <v>6</v>
      </c>
      <c r="AA158">
        <f t="shared" si="89"/>
        <v>2</v>
      </c>
      <c r="AB158">
        <f t="shared" si="90"/>
        <v>12</v>
      </c>
      <c r="AC158">
        <f t="shared" si="91"/>
        <v>17</v>
      </c>
      <c r="AD158">
        <v>0</v>
      </c>
      <c r="AE158">
        <v>0</v>
      </c>
      <c r="AF158" t="s">
        <v>313</v>
      </c>
      <c r="AG158">
        <v>1</v>
      </c>
      <c r="AH158">
        <f t="shared" si="92"/>
        <v>1</v>
      </c>
      <c r="AI158">
        <f t="shared" si="93"/>
        <v>0</v>
      </c>
      <c r="AJ158">
        <v>0</v>
      </c>
      <c r="AK158">
        <v>1</v>
      </c>
      <c r="AL158">
        <f t="shared" si="94"/>
        <v>1</v>
      </c>
      <c r="AM158">
        <f t="shared" si="95"/>
        <v>3</v>
      </c>
      <c r="AN158">
        <v>3</v>
      </c>
      <c r="AO158" t="s">
        <v>111</v>
      </c>
      <c r="AP158">
        <f t="shared" si="96"/>
        <v>2</v>
      </c>
      <c r="AQ158">
        <f t="shared" si="97"/>
        <v>3</v>
      </c>
      <c r="AR158" t="str">
        <f t="shared" si="98"/>
        <v>Derrota</v>
      </c>
      <c r="AS158" s="3" t="str">
        <f t="shared" si="99"/>
        <v>Derrota ajustada</v>
      </c>
    </row>
    <row r="159" spans="1:45" x14ac:dyDescent="0.3">
      <c r="A159" t="s">
        <v>314</v>
      </c>
      <c r="B159">
        <f t="shared" si="80"/>
        <v>2024</v>
      </c>
      <c r="C159" t="str">
        <f t="shared" si="81"/>
        <v>Sep</v>
      </c>
      <c r="D159" t="str" cm="1">
        <f t="array" ref="D159">_xlfn.IFS(OR(C159="Dec", C159="Jan", C159="Feb"), "Invierno", OR(C159="Mar", C159="Apr", C159="May"), "Primavera", OR(C159="Jun", C159="Jul", C159="Aug"), "Verano", OR(C159="Sep", C159="Oct", C159="Nov"), "Otoño")</f>
        <v>Otoño</v>
      </c>
      <c r="E159" t="s">
        <v>22</v>
      </c>
      <c r="F159" t="s">
        <v>23</v>
      </c>
      <c r="G159" t="s">
        <v>87</v>
      </c>
      <c r="H159" t="s">
        <v>32</v>
      </c>
      <c r="I159" t="s">
        <v>59</v>
      </c>
      <c r="J159">
        <v>5</v>
      </c>
      <c r="K159">
        <v>23</v>
      </c>
      <c r="L159">
        <f t="shared" si="82"/>
        <v>23</v>
      </c>
      <c r="M159">
        <f t="shared" si="83"/>
        <v>5</v>
      </c>
      <c r="N159">
        <v>3</v>
      </c>
      <c r="O159">
        <v>0</v>
      </c>
      <c r="P159">
        <f t="shared" si="84"/>
        <v>0</v>
      </c>
      <c r="Q159">
        <f t="shared" si="85"/>
        <v>3</v>
      </c>
      <c r="R159">
        <v>36</v>
      </c>
      <c r="S159">
        <v>64</v>
      </c>
      <c r="T159" s="10">
        <f t="shared" si="86"/>
        <v>64</v>
      </c>
      <c r="U159">
        <f t="shared" si="87"/>
        <v>36</v>
      </c>
      <c r="V159">
        <v>2</v>
      </c>
      <c r="W159">
        <v>9</v>
      </c>
      <c r="X159">
        <v>16</v>
      </c>
      <c r="Y159">
        <v>12</v>
      </c>
      <c r="Z159">
        <f t="shared" si="88"/>
        <v>9</v>
      </c>
      <c r="AA159">
        <f t="shared" si="89"/>
        <v>2</v>
      </c>
      <c r="AB159">
        <f t="shared" si="90"/>
        <v>12</v>
      </c>
      <c r="AC159">
        <f t="shared" si="91"/>
        <v>16</v>
      </c>
      <c r="AD159">
        <v>3</v>
      </c>
      <c r="AE159">
        <v>1</v>
      </c>
      <c r="AF159" t="s">
        <v>285</v>
      </c>
      <c r="AG159">
        <v>0</v>
      </c>
      <c r="AH159">
        <f t="shared" si="92"/>
        <v>0</v>
      </c>
      <c r="AI159">
        <f t="shared" si="93"/>
        <v>0</v>
      </c>
      <c r="AJ159">
        <v>0</v>
      </c>
      <c r="AK159">
        <v>1</v>
      </c>
      <c r="AL159">
        <f t="shared" si="94"/>
        <v>1</v>
      </c>
      <c r="AM159">
        <f t="shared" si="95"/>
        <v>1</v>
      </c>
      <c r="AN159">
        <v>1</v>
      </c>
      <c r="AO159" t="s">
        <v>66</v>
      </c>
      <c r="AP159">
        <f t="shared" si="96"/>
        <v>1</v>
      </c>
      <c r="AQ159">
        <f t="shared" si="97"/>
        <v>1</v>
      </c>
      <c r="AR159" t="str">
        <f t="shared" si="98"/>
        <v>Empate</v>
      </c>
      <c r="AS159" s="3" t="str">
        <f t="shared" si="99"/>
        <v>Empate</v>
      </c>
    </row>
    <row r="160" spans="1:45" x14ac:dyDescent="0.3">
      <c r="A160" t="s">
        <v>315</v>
      </c>
      <c r="B160">
        <f t="shared" si="80"/>
        <v>2024</v>
      </c>
      <c r="C160" t="str">
        <f t="shared" si="81"/>
        <v>Oct</v>
      </c>
      <c r="D160" t="str" cm="1">
        <f t="array" ref="D160">_xlfn.IFS(OR(C160="Dec", C160="Jan", C160="Feb"), "Invierno", OR(C160="Mar", C160="Apr", C160="May"), "Primavera", OR(C160="Jun", C160="Jul", C160="Aug"), "Verano", OR(C160="Sep", C160="Oct", C160="Nov"), "Otoño")</f>
        <v>Otoño</v>
      </c>
      <c r="E160" t="s">
        <v>62</v>
      </c>
      <c r="F160" t="s">
        <v>38</v>
      </c>
      <c r="G160" t="s">
        <v>102</v>
      </c>
      <c r="H160" t="s">
        <v>25</v>
      </c>
      <c r="I160" t="s">
        <v>92</v>
      </c>
      <c r="J160">
        <v>23</v>
      </c>
      <c r="K160">
        <v>7</v>
      </c>
      <c r="L160">
        <f t="shared" si="82"/>
        <v>23</v>
      </c>
      <c r="M160">
        <f t="shared" si="83"/>
        <v>7</v>
      </c>
      <c r="N160">
        <v>1</v>
      </c>
      <c r="O160">
        <v>3</v>
      </c>
      <c r="P160">
        <f t="shared" si="84"/>
        <v>1</v>
      </c>
      <c r="Q160">
        <f t="shared" si="85"/>
        <v>3</v>
      </c>
      <c r="R160">
        <v>63</v>
      </c>
      <c r="S160">
        <v>37</v>
      </c>
      <c r="T160" s="10">
        <f t="shared" si="86"/>
        <v>63</v>
      </c>
      <c r="U160">
        <f t="shared" si="87"/>
        <v>37</v>
      </c>
      <c r="V160">
        <v>4</v>
      </c>
      <c r="W160">
        <v>2</v>
      </c>
      <c r="X160">
        <v>9</v>
      </c>
      <c r="Y160">
        <v>15</v>
      </c>
      <c r="Z160">
        <f t="shared" si="88"/>
        <v>4</v>
      </c>
      <c r="AA160">
        <f t="shared" si="89"/>
        <v>2</v>
      </c>
      <c r="AB160">
        <f t="shared" si="90"/>
        <v>9</v>
      </c>
      <c r="AC160">
        <f t="shared" si="91"/>
        <v>15</v>
      </c>
      <c r="AD160">
        <v>1</v>
      </c>
      <c r="AE160">
        <v>1</v>
      </c>
      <c r="AF160" t="s">
        <v>89</v>
      </c>
      <c r="AG160">
        <v>1</v>
      </c>
      <c r="AH160">
        <f t="shared" si="92"/>
        <v>1</v>
      </c>
      <c r="AI160">
        <f t="shared" si="93"/>
        <v>0</v>
      </c>
      <c r="AJ160">
        <v>0</v>
      </c>
      <c r="AK160">
        <v>4</v>
      </c>
      <c r="AL160">
        <f t="shared" si="94"/>
        <v>4</v>
      </c>
      <c r="AM160">
        <f t="shared" si="95"/>
        <v>1</v>
      </c>
      <c r="AN160">
        <v>1</v>
      </c>
      <c r="AO160" t="s">
        <v>97</v>
      </c>
      <c r="AP160">
        <f t="shared" si="96"/>
        <v>5</v>
      </c>
      <c r="AQ160">
        <f t="shared" si="97"/>
        <v>1</v>
      </c>
      <c r="AR160" t="str">
        <f t="shared" si="98"/>
        <v>Victoria</v>
      </c>
      <c r="AS160" s="3" t="str">
        <f t="shared" si="99"/>
        <v>Victoria dominante</v>
      </c>
    </row>
    <row r="161" spans="1:45" x14ac:dyDescent="0.3">
      <c r="A161" t="s">
        <v>316</v>
      </c>
      <c r="B161">
        <f t="shared" si="80"/>
        <v>2024</v>
      </c>
      <c r="C161" t="str">
        <f t="shared" si="81"/>
        <v>Oct</v>
      </c>
      <c r="D161" t="str" cm="1">
        <f t="array" ref="D161">_xlfn.IFS(OR(C161="Dec", C161="Jan", C161="Feb"), "Invierno", OR(C161="Mar", C161="Apr", C161="May"), "Primavera", OR(C161="Jun", C161="Jul", C161="Aug"), "Verano", OR(C161="Sep", C161="Oct", C161="Nov"), "Otoño")</f>
        <v>Otoño</v>
      </c>
      <c r="E161" t="s">
        <v>30</v>
      </c>
      <c r="F161" t="s">
        <v>23</v>
      </c>
      <c r="G161" t="s">
        <v>359</v>
      </c>
      <c r="H161" t="s">
        <v>25</v>
      </c>
      <c r="I161" t="s">
        <v>69</v>
      </c>
      <c r="J161">
        <v>12</v>
      </c>
      <c r="K161">
        <v>16</v>
      </c>
      <c r="L161">
        <f t="shared" si="82"/>
        <v>16</v>
      </c>
      <c r="M161">
        <f t="shared" si="83"/>
        <v>12</v>
      </c>
      <c r="N161">
        <v>5</v>
      </c>
      <c r="O161">
        <v>4</v>
      </c>
      <c r="P161">
        <f t="shared" si="84"/>
        <v>4</v>
      </c>
      <c r="Q161">
        <f t="shared" si="85"/>
        <v>5</v>
      </c>
      <c r="R161">
        <v>42</v>
      </c>
      <c r="S161">
        <v>58</v>
      </c>
      <c r="T161" s="10">
        <f t="shared" si="86"/>
        <v>58</v>
      </c>
      <c r="U161">
        <f t="shared" si="87"/>
        <v>42</v>
      </c>
      <c r="V161">
        <v>2</v>
      </c>
      <c r="W161">
        <v>5</v>
      </c>
      <c r="X161">
        <v>12</v>
      </c>
      <c r="Y161">
        <v>6</v>
      </c>
      <c r="Z161">
        <f t="shared" si="88"/>
        <v>5</v>
      </c>
      <c r="AA161">
        <f t="shared" si="89"/>
        <v>2</v>
      </c>
      <c r="AB161">
        <f t="shared" si="90"/>
        <v>6</v>
      </c>
      <c r="AC161">
        <f t="shared" si="91"/>
        <v>12</v>
      </c>
      <c r="AD161">
        <v>2</v>
      </c>
      <c r="AE161">
        <v>2</v>
      </c>
      <c r="AF161" t="s">
        <v>317</v>
      </c>
      <c r="AG161">
        <v>0</v>
      </c>
      <c r="AH161">
        <f t="shared" si="92"/>
        <v>1</v>
      </c>
      <c r="AI161">
        <f t="shared" si="93"/>
        <v>0</v>
      </c>
      <c r="AJ161">
        <v>1</v>
      </c>
      <c r="AK161">
        <v>0</v>
      </c>
      <c r="AL161">
        <f t="shared" si="94"/>
        <v>1</v>
      </c>
      <c r="AM161">
        <f t="shared" si="95"/>
        <v>0</v>
      </c>
      <c r="AN161">
        <v>1</v>
      </c>
      <c r="AO161" t="s">
        <v>56</v>
      </c>
      <c r="AP161">
        <f t="shared" si="96"/>
        <v>2</v>
      </c>
      <c r="AQ161">
        <f t="shared" si="97"/>
        <v>0</v>
      </c>
      <c r="AR161" t="str">
        <f t="shared" si="98"/>
        <v>Victoria</v>
      </c>
      <c r="AS161" s="3" t="str">
        <f t="shared" si="99"/>
        <v>Victoria dominante</v>
      </c>
    </row>
    <row r="162" spans="1:45" x14ac:dyDescent="0.3">
      <c r="A162" t="s">
        <v>318</v>
      </c>
      <c r="B162">
        <f t="shared" ref="B162:B193" si="100">VALUE(RIGHT(A162,4))</f>
        <v>2024</v>
      </c>
      <c r="C162" t="str">
        <f t="shared" ref="C162:C175" si="101">MID(A162,5,3)</f>
        <v>Oct</v>
      </c>
      <c r="D162" t="str" cm="1">
        <f t="array" ref="D162">_xlfn.IFS(OR(C162="Dec", C162="Jan", C162="Feb"), "Invierno", OR(C162="Mar", C162="Apr", C162="May"), "Primavera", OR(C162="Jun", C162="Jul", C162="Aug"), "Verano", OR(C162="Sep", C162="Oct", C162="Nov"), "Otoño")</f>
        <v>Otoño</v>
      </c>
      <c r="E162" t="s">
        <v>22</v>
      </c>
      <c r="F162" t="s">
        <v>38</v>
      </c>
      <c r="G162" t="s">
        <v>68</v>
      </c>
      <c r="H162" t="s">
        <v>25</v>
      </c>
      <c r="I162" t="s">
        <v>319</v>
      </c>
      <c r="J162">
        <v>19</v>
      </c>
      <c r="K162">
        <v>4</v>
      </c>
      <c r="L162">
        <f t="shared" ref="L162:L175" si="102">IF(F162 = "H", J162, IF(F162 = "A", K162))</f>
        <v>19</v>
      </c>
      <c r="M162">
        <f t="shared" ref="M162:M175" si="103">IF(F162 = "A", J162, IF(F162 = "H", K162))</f>
        <v>4</v>
      </c>
      <c r="N162">
        <v>1</v>
      </c>
      <c r="O162">
        <v>4</v>
      </c>
      <c r="P162">
        <f t="shared" ref="P162:P175" si="104">IF(F162 = "H", N162, IF(F162 = "A", O162,0))</f>
        <v>1</v>
      </c>
      <c r="Q162">
        <f t="shared" ref="Q162:Q175" si="105">IF(F162 = "A", N162, IF(F162 = "H", O162))</f>
        <v>4</v>
      </c>
      <c r="R162">
        <v>69</v>
      </c>
      <c r="S162">
        <v>31</v>
      </c>
      <c r="T162" s="10">
        <f t="shared" ref="T162:T175" si="106">IF(F162 = "H", R162, IF(F162 ="A", S162,0))</f>
        <v>69</v>
      </c>
      <c r="U162">
        <f t="shared" ref="U162:U175" si="107">IF(F162 = "A", R162, IF(F162 = "H", S162))</f>
        <v>31</v>
      </c>
      <c r="V162">
        <v>4</v>
      </c>
      <c r="W162">
        <v>2</v>
      </c>
      <c r="X162">
        <v>3</v>
      </c>
      <c r="Y162">
        <v>15</v>
      </c>
      <c r="Z162">
        <f t="shared" ref="Z162:Z175" si="108">IF(F162 = "H", V162, IF(F162 = "A", W162))</f>
        <v>4</v>
      </c>
      <c r="AA162">
        <f t="shared" ref="AA162:AA175" si="109">IF(F162 = "A", V162, IF(F162 = "H", W162))</f>
        <v>2</v>
      </c>
      <c r="AB162">
        <f t="shared" ref="AB162:AB175" si="110">IF(F162 = "H", X162, IF(F162= "A", Y162, 0))</f>
        <v>3</v>
      </c>
      <c r="AC162">
        <f t="shared" ref="AC162:AC175" si="111">IF(F162 = "A", X162, IF(F162 = "H", Y162, 0))</f>
        <v>15</v>
      </c>
      <c r="AD162">
        <v>1</v>
      </c>
      <c r="AE162">
        <v>2</v>
      </c>
      <c r="AF162" t="s">
        <v>320</v>
      </c>
      <c r="AG162">
        <v>5</v>
      </c>
      <c r="AH162">
        <f t="shared" ref="AH162:AH177" si="112">IF(F162 = "H", AG162, IF(F162 ="A", AJ162,0))</f>
        <v>5</v>
      </c>
      <c r="AI162">
        <f t="shared" ref="AI162:AI177" si="113">IF(F162 = "A", AG162, IF(F162 ="H", AJ162,0))</f>
        <v>1</v>
      </c>
      <c r="AJ162">
        <v>1</v>
      </c>
      <c r="AK162">
        <v>1</v>
      </c>
      <c r="AL162">
        <f t="shared" ref="AL162:AL177" si="114">IF(F162 ="H", AK162, IF(F162 ="A", AN162,0))</f>
        <v>1</v>
      </c>
      <c r="AM162">
        <f t="shared" ref="AM162:AM177" si="115">IF(F162="A", AK162,IF(F162 ="H", AN162,0))</f>
        <v>0</v>
      </c>
      <c r="AN162">
        <v>0</v>
      </c>
      <c r="AO162" t="s">
        <v>66</v>
      </c>
      <c r="AP162">
        <f t="shared" ref="AP162:AP177" si="116">IF(F162="H", AG162+AK162, IF(F162="A", AJ162+AN162, 0))</f>
        <v>6</v>
      </c>
      <c r="AQ162">
        <f t="shared" ref="AQ162:AQ177" si="117">IF(F162="A", AG162+AK162, IF(F162="H", AJ162+AN162, 0))</f>
        <v>1</v>
      </c>
      <c r="AR162" t="str">
        <f t="shared" ref="AR162:AR175" si="118">IF(AP162&gt;AQ162,"Victoria",IF(AQ162&gt;AP162,"Derrota",IF(AQ162=AP162,"Empate")))</f>
        <v>Victoria</v>
      </c>
      <c r="AS162" s="3" t="str">
        <f t="shared" ref="AS162:AS177" si="119">IF(AP162&gt;AQ162,IF(AP162-AQ162&gt;1,"Victoria dominante","Victoria ajustada"),IF(AP162=AQ162,"Empate",IF(AP162-AQ162&lt;0,"Derrota ajustada","Derrota aplastante")))</f>
        <v>Victoria dominante</v>
      </c>
    </row>
    <row r="163" spans="1:45" x14ac:dyDescent="0.3">
      <c r="A163" t="s">
        <v>321</v>
      </c>
      <c r="B163">
        <f t="shared" si="100"/>
        <v>2024</v>
      </c>
      <c r="C163" t="str">
        <f t="shared" si="101"/>
        <v>Oct</v>
      </c>
      <c r="D163" t="str" cm="1">
        <f t="array" ref="D163">_xlfn.IFS(OR(C163="Dec", C163="Jan", C163="Feb"), "Invierno", OR(C163="Mar", C163="Apr", C163="May"), "Primavera", OR(C163="Jun", C163="Jul", C163="Aug"), "Verano", OR(C163="Sep", C163="Oct", C163="Nov"), "Otoño")</f>
        <v>Otoño</v>
      </c>
      <c r="E163" t="s">
        <v>22</v>
      </c>
      <c r="F163" t="s">
        <v>38</v>
      </c>
      <c r="G163" t="s">
        <v>219</v>
      </c>
      <c r="H163" t="s">
        <v>25</v>
      </c>
      <c r="I163" t="s">
        <v>150</v>
      </c>
      <c r="J163">
        <v>16</v>
      </c>
      <c r="K163">
        <v>4</v>
      </c>
      <c r="L163">
        <f t="shared" si="102"/>
        <v>16</v>
      </c>
      <c r="M163">
        <f t="shared" si="103"/>
        <v>4</v>
      </c>
      <c r="N163">
        <v>3</v>
      </c>
      <c r="O163">
        <v>3</v>
      </c>
      <c r="P163">
        <f t="shared" si="104"/>
        <v>3</v>
      </c>
      <c r="Q163">
        <f t="shared" si="105"/>
        <v>3</v>
      </c>
      <c r="R163">
        <v>54</v>
      </c>
      <c r="S163">
        <v>46</v>
      </c>
      <c r="T163" s="10">
        <f t="shared" si="106"/>
        <v>54</v>
      </c>
      <c r="U163">
        <f t="shared" si="107"/>
        <v>46</v>
      </c>
      <c r="V163">
        <v>5</v>
      </c>
      <c r="W163">
        <v>1</v>
      </c>
      <c r="X163">
        <v>14</v>
      </c>
      <c r="Y163">
        <v>11</v>
      </c>
      <c r="Z163">
        <f t="shared" si="108"/>
        <v>5</v>
      </c>
      <c r="AA163">
        <f t="shared" si="109"/>
        <v>1</v>
      </c>
      <c r="AB163">
        <f t="shared" si="110"/>
        <v>14</v>
      </c>
      <c r="AC163">
        <f t="shared" si="111"/>
        <v>11</v>
      </c>
      <c r="AD163">
        <v>0</v>
      </c>
      <c r="AE163">
        <v>1</v>
      </c>
      <c r="AF163" t="s">
        <v>114</v>
      </c>
      <c r="AG163">
        <v>0</v>
      </c>
      <c r="AH163">
        <f t="shared" si="112"/>
        <v>0</v>
      </c>
      <c r="AI163">
        <f t="shared" si="113"/>
        <v>0</v>
      </c>
      <c r="AJ163">
        <v>0</v>
      </c>
      <c r="AK163">
        <v>2</v>
      </c>
      <c r="AL163">
        <f t="shared" si="114"/>
        <v>2</v>
      </c>
      <c r="AM163">
        <f t="shared" si="115"/>
        <v>0</v>
      </c>
      <c r="AN163">
        <v>0</v>
      </c>
      <c r="AO163" t="s">
        <v>97</v>
      </c>
      <c r="AP163">
        <f t="shared" si="116"/>
        <v>2</v>
      </c>
      <c r="AQ163">
        <f t="shared" si="117"/>
        <v>0</v>
      </c>
      <c r="AR163" t="str">
        <f t="shared" si="118"/>
        <v>Victoria</v>
      </c>
      <c r="AS163" s="3" t="str">
        <f t="shared" si="119"/>
        <v>Victoria dominante</v>
      </c>
    </row>
    <row r="164" spans="1:45" x14ac:dyDescent="0.3">
      <c r="A164" t="s">
        <v>322</v>
      </c>
      <c r="B164">
        <f t="shared" si="100"/>
        <v>2024</v>
      </c>
      <c r="C164" t="str">
        <f t="shared" si="101"/>
        <v>Nov</v>
      </c>
      <c r="D164" t="str" cm="1">
        <f t="array" ref="D164">_xlfn.IFS(OR(C164="Dec", C164="Jan", C164="Feb"), "Invierno", OR(C164="Mar", C164="Apr", C164="May"), "Primavera", OR(C164="Jun", C164="Jul", C164="Aug"), "Verano", OR(C164="Sep", C164="Oct", C164="Nov"), "Otoño")</f>
        <v>Otoño</v>
      </c>
      <c r="E164" t="s">
        <v>37</v>
      </c>
      <c r="F164" t="s">
        <v>23</v>
      </c>
      <c r="G164" t="s">
        <v>44</v>
      </c>
      <c r="H164" t="s">
        <v>32</v>
      </c>
      <c r="I164" t="s">
        <v>106</v>
      </c>
      <c r="J164">
        <v>13</v>
      </c>
      <c r="K164">
        <v>12</v>
      </c>
      <c r="L164">
        <f t="shared" si="102"/>
        <v>12</v>
      </c>
      <c r="M164">
        <f t="shared" si="103"/>
        <v>13</v>
      </c>
      <c r="N164">
        <v>0</v>
      </c>
      <c r="O164">
        <v>3</v>
      </c>
      <c r="P164">
        <f t="shared" si="104"/>
        <v>3</v>
      </c>
      <c r="Q164">
        <f t="shared" si="105"/>
        <v>0</v>
      </c>
      <c r="R164">
        <v>50</v>
      </c>
      <c r="S164">
        <v>50</v>
      </c>
      <c r="T164" s="10">
        <f t="shared" si="106"/>
        <v>50</v>
      </c>
      <c r="U164">
        <f t="shared" si="107"/>
        <v>50</v>
      </c>
      <c r="V164">
        <v>4</v>
      </c>
      <c r="W164">
        <v>3</v>
      </c>
      <c r="X164">
        <v>10</v>
      </c>
      <c r="Y164">
        <v>8</v>
      </c>
      <c r="Z164">
        <f t="shared" si="108"/>
        <v>3</v>
      </c>
      <c r="AA164">
        <f t="shared" si="109"/>
        <v>4</v>
      </c>
      <c r="AB164">
        <f t="shared" si="110"/>
        <v>8</v>
      </c>
      <c r="AC164">
        <f t="shared" si="111"/>
        <v>10</v>
      </c>
      <c r="AD164">
        <v>1</v>
      </c>
      <c r="AE164">
        <v>3</v>
      </c>
      <c r="AF164" t="s">
        <v>60</v>
      </c>
      <c r="AG164">
        <v>0</v>
      </c>
      <c r="AH164">
        <f t="shared" si="112"/>
        <v>2</v>
      </c>
      <c r="AI164">
        <f t="shared" si="113"/>
        <v>0</v>
      </c>
      <c r="AJ164">
        <v>2</v>
      </c>
      <c r="AK164">
        <v>0</v>
      </c>
      <c r="AL164">
        <f t="shared" si="114"/>
        <v>1</v>
      </c>
      <c r="AM164">
        <f t="shared" si="115"/>
        <v>0</v>
      </c>
      <c r="AN164">
        <v>1</v>
      </c>
      <c r="AO164" t="s">
        <v>107</v>
      </c>
      <c r="AP164">
        <f t="shared" si="116"/>
        <v>3</v>
      </c>
      <c r="AQ164">
        <f t="shared" si="117"/>
        <v>0</v>
      </c>
      <c r="AR164" t="str">
        <f t="shared" si="118"/>
        <v>Victoria</v>
      </c>
      <c r="AS164" s="3" t="str">
        <f t="shared" si="119"/>
        <v>Victoria dominante</v>
      </c>
    </row>
    <row r="165" spans="1:45" x14ac:dyDescent="0.3">
      <c r="A165" t="s">
        <v>323</v>
      </c>
      <c r="B165">
        <f t="shared" si="100"/>
        <v>2024</v>
      </c>
      <c r="C165" t="str">
        <f t="shared" si="101"/>
        <v>Nov</v>
      </c>
      <c r="D165" t="str" cm="1">
        <f t="array" ref="D165">_xlfn.IFS(OR(C165="Dec", C165="Jan", C165="Feb"), "Invierno", OR(C165="Mar", C165="Apr", C165="May"), "Primavera", OR(C165="Jun", C165="Jul", C165="Aug"), "Verano", OR(C165="Sep", C165="Oct", C165="Nov"), "Otoño")</f>
        <v>Otoño</v>
      </c>
      <c r="E165" t="s">
        <v>37</v>
      </c>
      <c r="F165" t="s">
        <v>38</v>
      </c>
      <c r="G165" t="s">
        <v>73</v>
      </c>
      <c r="H165" t="s">
        <v>25</v>
      </c>
      <c r="I165" t="s">
        <v>161</v>
      </c>
      <c r="J165">
        <v>10</v>
      </c>
      <c r="K165">
        <v>11</v>
      </c>
      <c r="L165">
        <f t="shared" si="102"/>
        <v>10</v>
      </c>
      <c r="M165">
        <f t="shared" si="103"/>
        <v>11</v>
      </c>
      <c r="N165">
        <v>4</v>
      </c>
      <c r="O165">
        <v>5</v>
      </c>
      <c r="P165">
        <f t="shared" si="104"/>
        <v>4</v>
      </c>
      <c r="Q165">
        <f t="shared" si="105"/>
        <v>5</v>
      </c>
      <c r="R165">
        <v>54</v>
      </c>
      <c r="S165">
        <v>46</v>
      </c>
      <c r="T165" s="10">
        <f t="shared" si="106"/>
        <v>54</v>
      </c>
      <c r="U165">
        <f t="shared" si="107"/>
        <v>46</v>
      </c>
      <c r="V165">
        <v>4</v>
      </c>
      <c r="W165">
        <v>5</v>
      </c>
      <c r="X165">
        <v>10</v>
      </c>
      <c r="Y165">
        <v>13</v>
      </c>
      <c r="Z165">
        <f t="shared" si="108"/>
        <v>4</v>
      </c>
      <c r="AA165">
        <f t="shared" si="109"/>
        <v>5</v>
      </c>
      <c r="AB165">
        <f t="shared" si="110"/>
        <v>10</v>
      </c>
      <c r="AC165">
        <f t="shared" si="111"/>
        <v>13</v>
      </c>
      <c r="AD165">
        <v>2</v>
      </c>
      <c r="AE165">
        <v>0</v>
      </c>
      <c r="AF165" t="s">
        <v>84</v>
      </c>
      <c r="AG165">
        <v>0</v>
      </c>
      <c r="AH165">
        <f t="shared" si="112"/>
        <v>0</v>
      </c>
      <c r="AI165">
        <f t="shared" si="113"/>
        <v>0</v>
      </c>
      <c r="AJ165">
        <v>0</v>
      </c>
      <c r="AK165">
        <v>2</v>
      </c>
      <c r="AL165">
        <f t="shared" si="114"/>
        <v>2</v>
      </c>
      <c r="AM165">
        <f t="shared" si="115"/>
        <v>1</v>
      </c>
      <c r="AN165">
        <v>1</v>
      </c>
      <c r="AO165" t="s">
        <v>143</v>
      </c>
      <c r="AP165">
        <f t="shared" si="116"/>
        <v>2</v>
      </c>
      <c r="AQ165">
        <f t="shared" si="117"/>
        <v>1</v>
      </c>
      <c r="AR165" t="str">
        <f t="shared" si="118"/>
        <v>Victoria</v>
      </c>
      <c r="AS165" s="3" t="str">
        <f t="shared" si="119"/>
        <v>Victoria ajustada</v>
      </c>
    </row>
    <row r="166" spans="1:45" x14ac:dyDescent="0.3">
      <c r="A166" t="s">
        <v>324</v>
      </c>
      <c r="B166">
        <f t="shared" si="100"/>
        <v>2024</v>
      </c>
      <c r="C166" t="str">
        <f t="shared" si="101"/>
        <v>Nov</v>
      </c>
      <c r="D166" t="str" cm="1">
        <f t="array" ref="D166">_xlfn.IFS(OR(C166="Dec", C166="Jan", C166="Feb"), "Invierno", OR(C166="Mar", C166="Apr", C166="May"), "Primavera", OR(C166="Jun", C166="Jul", C166="Aug"), "Verano", OR(C166="Sep", C166="Oct", C166="Nov"), "Otoño")</f>
        <v>Otoño</v>
      </c>
      <c r="E166" t="s">
        <v>22</v>
      </c>
      <c r="F166" t="s">
        <v>23</v>
      </c>
      <c r="G166" t="s">
        <v>95</v>
      </c>
      <c r="H166" t="s">
        <v>32</v>
      </c>
      <c r="I166" t="s">
        <v>49</v>
      </c>
      <c r="J166">
        <v>9</v>
      </c>
      <c r="K166">
        <v>15</v>
      </c>
      <c r="L166">
        <f t="shared" si="102"/>
        <v>15</v>
      </c>
      <c r="M166">
        <f t="shared" si="103"/>
        <v>9</v>
      </c>
      <c r="N166">
        <v>3</v>
      </c>
      <c r="O166">
        <v>2</v>
      </c>
      <c r="P166">
        <f t="shared" si="104"/>
        <v>2</v>
      </c>
      <c r="Q166">
        <f t="shared" si="105"/>
        <v>3</v>
      </c>
      <c r="R166">
        <v>45</v>
      </c>
      <c r="S166">
        <v>55</v>
      </c>
      <c r="T166" s="10">
        <f t="shared" si="106"/>
        <v>55</v>
      </c>
      <c r="U166">
        <f t="shared" si="107"/>
        <v>45</v>
      </c>
      <c r="V166">
        <v>2</v>
      </c>
      <c r="W166">
        <v>5</v>
      </c>
      <c r="X166">
        <v>6</v>
      </c>
      <c r="Y166">
        <v>8</v>
      </c>
      <c r="Z166">
        <f t="shared" si="108"/>
        <v>5</v>
      </c>
      <c r="AA166">
        <f t="shared" si="109"/>
        <v>2</v>
      </c>
      <c r="AB166">
        <f t="shared" si="110"/>
        <v>8</v>
      </c>
      <c r="AC166">
        <f t="shared" si="111"/>
        <v>6</v>
      </c>
      <c r="AD166">
        <v>0</v>
      </c>
      <c r="AE166">
        <v>6</v>
      </c>
      <c r="AF166" t="s">
        <v>130</v>
      </c>
      <c r="AG166">
        <v>0</v>
      </c>
      <c r="AH166">
        <f t="shared" si="112"/>
        <v>2</v>
      </c>
      <c r="AI166">
        <f t="shared" si="113"/>
        <v>0</v>
      </c>
      <c r="AJ166">
        <v>2</v>
      </c>
      <c r="AK166">
        <v>1</v>
      </c>
      <c r="AL166">
        <f t="shared" si="114"/>
        <v>1</v>
      </c>
      <c r="AM166">
        <f t="shared" si="115"/>
        <v>1</v>
      </c>
      <c r="AN166">
        <v>1</v>
      </c>
      <c r="AO166" t="s">
        <v>66</v>
      </c>
      <c r="AP166">
        <f t="shared" si="116"/>
        <v>3</v>
      </c>
      <c r="AQ166">
        <f t="shared" si="117"/>
        <v>1</v>
      </c>
      <c r="AR166" t="str">
        <f t="shared" si="118"/>
        <v>Victoria</v>
      </c>
      <c r="AS166" s="3" t="str">
        <f t="shared" si="119"/>
        <v>Victoria dominante</v>
      </c>
    </row>
    <row r="167" spans="1:45" x14ac:dyDescent="0.3">
      <c r="A167" t="s">
        <v>325</v>
      </c>
      <c r="B167">
        <f t="shared" si="100"/>
        <v>2024</v>
      </c>
      <c r="C167" t="str">
        <f t="shared" si="101"/>
        <v>Dec</v>
      </c>
      <c r="D167" t="str" cm="1">
        <f t="array" ref="D167">_xlfn.IFS(OR(C167="Dec", C167="Jan", C167="Feb"), "Invierno", OR(C167="Mar", C167="Apr", C167="May"), "Primavera", OR(C167="Jun", C167="Jul", C167="Aug"), "Verano", OR(C167="Sep", C167="Oct", C167="Nov"), "Otoño")</f>
        <v>Invierno</v>
      </c>
      <c r="E167" t="s">
        <v>22</v>
      </c>
      <c r="F167" t="s">
        <v>23</v>
      </c>
      <c r="G167" t="s">
        <v>83</v>
      </c>
      <c r="H167" t="s">
        <v>25</v>
      </c>
      <c r="I167" t="s">
        <v>69</v>
      </c>
      <c r="J167">
        <v>5</v>
      </c>
      <c r="K167">
        <v>18</v>
      </c>
      <c r="L167">
        <f t="shared" si="102"/>
        <v>18</v>
      </c>
      <c r="M167">
        <f t="shared" si="103"/>
        <v>5</v>
      </c>
      <c r="N167">
        <v>5</v>
      </c>
      <c r="O167">
        <v>1</v>
      </c>
      <c r="P167">
        <f t="shared" si="104"/>
        <v>1</v>
      </c>
      <c r="Q167">
        <f t="shared" si="105"/>
        <v>5</v>
      </c>
      <c r="R167">
        <v>48</v>
      </c>
      <c r="S167">
        <v>52</v>
      </c>
      <c r="T167" s="10">
        <f t="shared" si="106"/>
        <v>52</v>
      </c>
      <c r="U167">
        <f t="shared" si="107"/>
        <v>48</v>
      </c>
      <c r="V167">
        <v>2</v>
      </c>
      <c r="W167">
        <v>4</v>
      </c>
      <c r="X167">
        <v>17</v>
      </c>
      <c r="Y167">
        <v>13</v>
      </c>
      <c r="Z167">
        <f t="shared" si="108"/>
        <v>4</v>
      </c>
      <c r="AA167">
        <f t="shared" si="109"/>
        <v>2</v>
      </c>
      <c r="AB167">
        <f t="shared" si="110"/>
        <v>13</v>
      </c>
      <c r="AC167">
        <f t="shared" si="111"/>
        <v>17</v>
      </c>
      <c r="AD167">
        <v>1</v>
      </c>
      <c r="AE167">
        <v>1</v>
      </c>
      <c r="AF167" t="s">
        <v>173</v>
      </c>
      <c r="AG167">
        <v>0</v>
      </c>
      <c r="AH167">
        <f t="shared" si="112"/>
        <v>0</v>
      </c>
      <c r="AI167">
        <f t="shared" si="113"/>
        <v>0</v>
      </c>
      <c r="AJ167">
        <v>0</v>
      </c>
      <c r="AK167">
        <v>0</v>
      </c>
      <c r="AL167">
        <f t="shared" si="114"/>
        <v>2</v>
      </c>
      <c r="AM167">
        <f t="shared" si="115"/>
        <v>0</v>
      </c>
      <c r="AN167">
        <v>2</v>
      </c>
      <c r="AO167" t="s">
        <v>35</v>
      </c>
      <c r="AP167">
        <f t="shared" si="116"/>
        <v>2</v>
      </c>
      <c r="AQ167">
        <f t="shared" si="117"/>
        <v>0</v>
      </c>
      <c r="AR167" t="str">
        <f t="shared" si="118"/>
        <v>Victoria</v>
      </c>
      <c r="AS167" s="3" t="str">
        <f t="shared" si="119"/>
        <v>Victoria dominante</v>
      </c>
    </row>
    <row r="168" spans="1:45" x14ac:dyDescent="0.3">
      <c r="A168" t="s">
        <v>326</v>
      </c>
      <c r="B168">
        <f t="shared" si="100"/>
        <v>2024</v>
      </c>
      <c r="C168" t="str">
        <f t="shared" si="101"/>
        <v>Dec</v>
      </c>
      <c r="D168" t="str" cm="1">
        <f t="array" ref="D168">_xlfn.IFS(OR(C168="Dec", C168="Jan", C168="Feb"), "Invierno", OR(C168="Mar", C168="Apr", C168="May"), "Primavera", OR(C168="Jun", C168="Jul", C168="Aug"), "Verano", OR(C168="Sep", C168="Oct", C168="Nov"), "Otoño")</f>
        <v>Invierno</v>
      </c>
      <c r="E168" t="s">
        <v>22</v>
      </c>
      <c r="F168" t="s">
        <v>38</v>
      </c>
      <c r="G168" t="s">
        <v>105</v>
      </c>
      <c r="H168" t="s">
        <v>32</v>
      </c>
      <c r="I168" t="s">
        <v>161</v>
      </c>
      <c r="J168">
        <v>17</v>
      </c>
      <c r="K168">
        <v>6</v>
      </c>
      <c r="L168">
        <f t="shared" si="102"/>
        <v>17</v>
      </c>
      <c r="M168">
        <f t="shared" si="103"/>
        <v>6</v>
      </c>
      <c r="N168">
        <v>1</v>
      </c>
      <c r="O168">
        <v>6</v>
      </c>
      <c r="P168">
        <f t="shared" si="104"/>
        <v>1</v>
      </c>
      <c r="Q168">
        <f t="shared" si="105"/>
        <v>6</v>
      </c>
      <c r="R168">
        <v>52</v>
      </c>
      <c r="S168">
        <v>48</v>
      </c>
      <c r="T168" s="10">
        <f t="shared" si="106"/>
        <v>52</v>
      </c>
      <c r="U168">
        <f t="shared" si="107"/>
        <v>48</v>
      </c>
      <c r="V168">
        <v>7</v>
      </c>
      <c r="W168">
        <v>0</v>
      </c>
      <c r="X168">
        <v>14</v>
      </c>
      <c r="Y168">
        <v>13</v>
      </c>
      <c r="Z168">
        <f t="shared" si="108"/>
        <v>7</v>
      </c>
      <c r="AA168">
        <f t="shared" si="109"/>
        <v>0</v>
      </c>
      <c r="AB168">
        <f t="shared" si="110"/>
        <v>14</v>
      </c>
      <c r="AC168">
        <f t="shared" si="111"/>
        <v>13</v>
      </c>
      <c r="AD168">
        <v>0</v>
      </c>
      <c r="AE168">
        <v>2</v>
      </c>
      <c r="AF168" t="s">
        <v>282</v>
      </c>
      <c r="AG168">
        <v>1</v>
      </c>
      <c r="AH168">
        <f t="shared" si="112"/>
        <v>1</v>
      </c>
      <c r="AI168">
        <f t="shared" si="113"/>
        <v>1</v>
      </c>
      <c r="AJ168">
        <v>1</v>
      </c>
      <c r="AK168">
        <v>1</v>
      </c>
      <c r="AL168">
        <f t="shared" si="114"/>
        <v>1</v>
      </c>
      <c r="AM168">
        <f t="shared" si="115"/>
        <v>0</v>
      </c>
      <c r="AN168">
        <v>0</v>
      </c>
      <c r="AO168" t="s">
        <v>137</v>
      </c>
      <c r="AP168">
        <f t="shared" si="116"/>
        <v>2</v>
      </c>
      <c r="AQ168">
        <f t="shared" si="117"/>
        <v>1</v>
      </c>
      <c r="AR168" t="str">
        <f t="shared" si="118"/>
        <v>Victoria</v>
      </c>
      <c r="AS168" s="3" t="str">
        <f t="shared" si="119"/>
        <v>Victoria ajustada</v>
      </c>
    </row>
    <row r="169" spans="1:45" x14ac:dyDescent="0.3">
      <c r="A169" t="s">
        <v>327</v>
      </c>
      <c r="B169">
        <f t="shared" si="100"/>
        <v>2024</v>
      </c>
      <c r="C169" t="str">
        <f t="shared" si="101"/>
        <v>Dec</v>
      </c>
      <c r="D169" t="str" cm="1">
        <f t="array" ref="D169">_xlfn.IFS(OR(C169="Dec", C169="Jan", C169="Feb"), "Invierno", OR(C169="Mar", C169="Apr", C169="May"), "Primavera", OR(C169="Jun", C169="Jul", C169="Aug"), "Verano", OR(C169="Sep", C169="Oct", C169="Nov"), "Otoño")</f>
        <v>Invierno</v>
      </c>
      <c r="E169" t="s">
        <v>30</v>
      </c>
      <c r="F169" t="s">
        <v>23</v>
      </c>
      <c r="G169" t="s">
        <v>39</v>
      </c>
      <c r="H169" t="s">
        <v>25</v>
      </c>
      <c r="I169" t="s">
        <v>113</v>
      </c>
      <c r="J169">
        <v>12</v>
      </c>
      <c r="K169">
        <v>12</v>
      </c>
      <c r="L169">
        <f t="shared" si="102"/>
        <v>12</v>
      </c>
      <c r="M169">
        <f t="shared" si="103"/>
        <v>12</v>
      </c>
      <c r="N169">
        <v>1</v>
      </c>
      <c r="O169">
        <v>8</v>
      </c>
      <c r="P169">
        <f t="shared" si="104"/>
        <v>8</v>
      </c>
      <c r="Q169">
        <f t="shared" si="105"/>
        <v>1</v>
      </c>
      <c r="R169">
        <v>44</v>
      </c>
      <c r="S169">
        <v>56</v>
      </c>
      <c r="T169" s="10">
        <f t="shared" si="106"/>
        <v>56</v>
      </c>
      <c r="U169">
        <f t="shared" si="107"/>
        <v>44</v>
      </c>
      <c r="V169">
        <v>2</v>
      </c>
      <c r="W169">
        <v>5</v>
      </c>
      <c r="X169">
        <v>16</v>
      </c>
      <c r="Y169">
        <v>10</v>
      </c>
      <c r="Z169">
        <f t="shared" si="108"/>
        <v>5</v>
      </c>
      <c r="AA169">
        <f t="shared" si="109"/>
        <v>2</v>
      </c>
      <c r="AB169">
        <f t="shared" si="110"/>
        <v>10</v>
      </c>
      <c r="AC169">
        <f t="shared" si="111"/>
        <v>16</v>
      </c>
      <c r="AD169">
        <v>1</v>
      </c>
      <c r="AE169">
        <v>4</v>
      </c>
      <c r="AF169" t="s">
        <v>127</v>
      </c>
      <c r="AG169">
        <v>0</v>
      </c>
      <c r="AH169">
        <f t="shared" si="112"/>
        <v>0</v>
      </c>
      <c r="AI169">
        <f t="shared" si="113"/>
        <v>0</v>
      </c>
      <c r="AJ169">
        <v>0</v>
      </c>
      <c r="AK169">
        <v>0</v>
      </c>
      <c r="AL169">
        <f t="shared" si="114"/>
        <v>1</v>
      </c>
      <c r="AM169">
        <f t="shared" si="115"/>
        <v>0</v>
      </c>
      <c r="AN169">
        <v>1</v>
      </c>
      <c r="AO169" t="s">
        <v>171</v>
      </c>
      <c r="AP169">
        <f t="shared" si="116"/>
        <v>1</v>
      </c>
      <c r="AQ169">
        <f t="shared" si="117"/>
        <v>0</v>
      </c>
      <c r="AR169" t="str">
        <f t="shared" si="118"/>
        <v>Victoria</v>
      </c>
      <c r="AS169" s="3" t="str">
        <f t="shared" si="119"/>
        <v>Victoria ajustada</v>
      </c>
    </row>
    <row r="170" spans="1:45" x14ac:dyDescent="0.3">
      <c r="A170" t="s">
        <v>328</v>
      </c>
      <c r="B170">
        <f t="shared" si="100"/>
        <v>2024</v>
      </c>
      <c r="C170" t="str">
        <f t="shared" si="101"/>
        <v>Dec</v>
      </c>
      <c r="D170" t="str" cm="1">
        <f t="array" ref="D170">_xlfn.IFS(OR(C170="Dec", C170="Jan", C170="Feb"), "Invierno", OR(C170="Mar", C170="Apr", C170="May"), "Primavera", OR(C170="Jun", C170="Jul", C170="Aug"), "Verano", OR(C170="Sep", C170="Oct", C170="Nov"), "Otoño")</f>
        <v>Invierno</v>
      </c>
      <c r="E170" t="s">
        <v>62</v>
      </c>
      <c r="F170" t="s">
        <v>38</v>
      </c>
      <c r="G170" t="s">
        <v>166</v>
      </c>
      <c r="H170" t="s">
        <v>25</v>
      </c>
      <c r="I170" t="s">
        <v>129</v>
      </c>
      <c r="J170">
        <v>16</v>
      </c>
      <c r="K170">
        <v>7</v>
      </c>
      <c r="L170">
        <f t="shared" si="102"/>
        <v>16</v>
      </c>
      <c r="M170">
        <f t="shared" si="103"/>
        <v>7</v>
      </c>
      <c r="N170">
        <v>1</v>
      </c>
      <c r="O170">
        <v>3</v>
      </c>
      <c r="P170">
        <f t="shared" si="104"/>
        <v>1</v>
      </c>
      <c r="Q170">
        <f t="shared" si="105"/>
        <v>3</v>
      </c>
      <c r="R170">
        <v>65</v>
      </c>
      <c r="S170">
        <v>35</v>
      </c>
      <c r="T170" s="10">
        <f t="shared" si="106"/>
        <v>65</v>
      </c>
      <c r="U170">
        <f t="shared" si="107"/>
        <v>35</v>
      </c>
      <c r="V170">
        <v>6</v>
      </c>
      <c r="W170">
        <v>3</v>
      </c>
      <c r="X170">
        <v>11</v>
      </c>
      <c r="Y170">
        <v>15</v>
      </c>
      <c r="Z170">
        <f t="shared" si="108"/>
        <v>6</v>
      </c>
      <c r="AA170">
        <f t="shared" si="109"/>
        <v>3</v>
      </c>
      <c r="AB170">
        <f t="shared" si="110"/>
        <v>11</v>
      </c>
      <c r="AC170">
        <f t="shared" si="111"/>
        <v>15</v>
      </c>
      <c r="AD170">
        <v>1</v>
      </c>
      <c r="AE170">
        <v>1</v>
      </c>
      <c r="AF170" t="s">
        <v>320</v>
      </c>
      <c r="AG170">
        <v>1</v>
      </c>
      <c r="AH170">
        <f t="shared" si="112"/>
        <v>1</v>
      </c>
      <c r="AI170">
        <f t="shared" si="113"/>
        <v>1</v>
      </c>
      <c r="AJ170">
        <v>1</v>
      </c>
      <c r="AK170">
        <v>2</v>
      </c>
      <c r="AL170">
        <f t="shared" si="114"/>
        <v>2</v>
      </c>
      <c r="AM170">
        <f t="shared" si="115"/>
        <v>1</v>
      </c>
      <c r="AN170">
        <v>1</v>
      </c>
      <c r="AO170" t="s">
        <v>51</v>
      </c>
      <c r="AP170">
        <f t="shared" si="116"/>
        <v>3</v>
      </c>
      <c r="AQ170">
        <f t="shared" si="117"/>
        <v>2</v>
      </c>
      <c r="AR170" t="str">
        <f t="shared" si="118"/>
        <v>Victoria</v>
      </c>
      <c r="AS170" s="3" t="str">
        <f t="shared" si="119"/>
        <v>Victoria ajustada</v>
      </c>
    </row>
    <row r="171" spans="1:45" x14ac:dyDescent="0.3">
      <c r="A171" t="s">
        <v>329</v>
      </c>
      <c r="B171">
        <f t="shared" si="100"/>
        <v>2024</v>
      </c>
      <c r="C171" t="str">
        <f t="shared" si="101"/>
        <v>Dec</v>
      </c>
      <c r="D171" t="str" cm="1">
        <f t="array" ref="D171">_xlfn.IFS(OR(C171="Dec", C171="Jan", C171="Feb"), "Invierno", OR(C171="Mar", C171="Apr", C171="May"), "Primavera", OR(C171="Jun", C171="Jul", C171="Aug"), "Verano", OR(C171="Sep", C171="Oct", C171="Nov"), "Otoño")</f>
        <v>Invierno</v>
      </c>
      <c r="E171" t="s">
        <v>22</v>
      </c>
      <c r="F171" t="s">
        <v>23</v>
      </c>
      <c r="G171" t="s">
        <v>24</v>
      </c>
      <c r="H171" t="s">
        <v>25</v>
      </c>
      <c r="I171" t="s">
        <v>59</v>
      </c>
      <c r="J171">
        <v>11</v>
      </c>
      <c r="K171">
        <v>14</v>
      </c>
      <c r="L171">
        <f t="shared" si="102"/>
        <v>14</v>
      </c>
      <c r="M171">
        <f t="shared" si="103"/>
        <v>11</v>
      </c>
      <c r="N171">
        <v>2</v>
      </c>
      <c r="O171">
        <v>4</v>
      </c>
      <c r="P171">
        <f t="shared" si="104"/>
        <v>4</v>
      </c>
      <c r="Q171">
        <f t="shared" si="105"/>
        <v>2</v>
      </c>
      <c r="R171">
        <v>40</v>
      </c>
      <c r="S171">
        <v>60</v>
      </c>
      <c r="T171" s="10">
        <f t="shared" si="106"/>
        <v>60</v>
      </c>
      <c r="U171">
        <f t="shared" si="107"/>
        <v>40</v>
      </c>
      <c r="V171">
        <v>2</v>
      </c>
      <c r="W171">
        <v>7</v>
      </c>
      <c r="X171">
        <v>6</v>
      </c>
      <c r="Y171">
        <v>11</v>
      </c>
      <c r="Z171">
        <f t="shared" si="108"/>
        <v>7</v>
      </c>
      <c r="AA171">
        <f t="shared" si="109"/>
        <v>2</v>
      </c>
      <c r="AB171">
        <f t="shared" si="110"/>
        <v>11</v>
      </c>
      <c r="AC171">
        <f t="shared" si="111"/>
        <v>6</v>
      </c>
      <c r="AD171">
        <v>0</v>
      </c>
      <c r="AE171">
        <v>3</v>
      </c>
      <c r="AF171" t="s">
        <v>70</v>
      </c>
      <c r="AG171">
        <v>1</v>
      </c>
      <c r="AH171">
        <f t="shared" si="112"/>
        <v>0</v>
      </c>
      <c r="AI171">
        <f t="shared" si="113"/>
        <v>1</v>
      </c>
      <c r="AJ171">
        <v>0</v>
      </c>
      <c r="AK171">
        <v>0</v>
      </c>
      <c r="AL171">
        <f t="shared" si="114"/>
        <v>1</v>
      </c>
      <c r="AM171">
        <f t="shared" si="115"/>
        <v>0</v>
      </c>
      <c r="AN171">
        <v>1</v>
      </c>
      <c r="AO171" t="s">
        <v>81</v>
      </c>
      <c r="AP171">
        <f t="shared" si="116"/>
        <v>1</v>
      </c>
      <c r="AQ171">
        <f t="shared" si="117"/>
        <v>1</v>
      </c>
      <c r="AR171" t="str">
        <f t="shared" si="118"/>
        <v>Empate</v>
      </c>
      <c r="AS171" s="3" t="str">
        <f t="shared" si="119"/>
        <v>Empate</v>
      </c>
    </row>
    <row r="172" spans="1:45" x14ac:dyDescent="0.3">
      <c r="A172" t="s">
        <v>330</v>
      </c>
      <c r="B172">
        <f t="shared" si="100"/>
        <v>2025</v>
      </c>
      <c r="C172" t="str">
        <f t="shared" si="101"/>
        <v>Jan</v>
      </c>
      <c r="D172" t="str" cm="1">
        <f t="array" ref="D172">_xlfn.IFS(OR(C172="Dec", C172="Jan", C172="Feb"), "Invierno", OR(C172="Mar", C172="Apr", C172="May"), "Primavera", OR(C172="Jun", C172="Jul", C172="Aug"), "Verano", OR(C172="Sep", C172="Oct", C172="Nov"), "Otoño")</f>
        <v>Invierno</v>
      </c>
      <c r="E172" t="s">
        <v>30</v>
      </c>
      <c r="F172" t="s">
        <v>23</v>
      </c>
      <c r="G172" t="s">
        <v>73</v>
      </c>
      <c r="H172" t="s">
        <v>32</v>
      </c>
      <c r="I172" t="s">
        <v>64</v>
      </c>
      <c r="J172">
        <v>12</v>
      </c>
      <c r="K172">
        <v>4</v>
      </c>
      <c r="L172">
        <f t="shared" si="102"/>
        <v>4</v>
      </c>
      <c r="M172">
        <f t="shared" si="103"/>
        <v>12</v>
      </c>
      <c r="N172">
        <v>4</v>
      </c>
      <c r="O172">
        <v>1</v>
      </c>
      <c r="P172">
        <f t="shared" si="104"/>
        <v>1</v>
      </c>
      <c r="Q172">
        <f t="shared" si="105"/>
        <v>4</v>
      </c>
      <c r="R172">
        <v>46</v>
      </c>
      <c r="S172">
        <v>54</v>
      </c>
      <c r="T172" s="10">
        <f t="shared" si="106"/>
        <v>54</v>
      </c>
      <c r="U172">
        <f t="shared" si="107"/>
        <v>46</v>
      </c>
      <c r="V172">
        <v>5</v>
      </c>
      <c r="W172">
        <v>3</v>
      </c>
      <c r="X172">
        <v>4</v>
      </c>
      <c r="Y172">
        <v>16</v>
      </c>
      <c r="Z172">
        <f t="shared" si="108"/>
        <v>3</v>
      </c>
      <c r="AA172">
        <f t="shared" si="109"/>
        <v>5</v>
      </c>
      <c r="AB172">
        <f t="shared" si="110"/>
        <v>16</v>
      </c>
      <c r="AC172">
        <f t="shared" si="111"/>
        <v>4</v>
      </c>
      <c r="AD172">
        <v>0</v>
      </c>
      <c r="AE172">
        <v>2</v>
      </c>
      <c r="AF172" t="s">
        <v>77</v>
      </c>
      <c r="AG172">
        <v>0</v>
      </c>
      <c r="AH172">
        <f t="shared" si="112"/>
        <v>0</v>
      </c>
      <c r="AI172">
        <f t="shared" si="113"/>
        <v>0</v>
      </c>
      <c r="AJ172">
        <v>0</v>
      </c>
      <c r="AK172">
        <v>0</v>
      </c>
      <c r="AL172">
        <f t="shared" si="114"/>
        <v>0</v>
      </c>
      <c r="AM172">
        <f t="shared" si="115"/>
        <v>0</v>
      </c>
      <c r="AN172">
        <v>0</v>
      </c>
      <c r="AO172" t="s">
        <v>71</v>
      </c>
      <c r="AP172">
        <f t="shared" si="116"/>
        <v>0</v>
      </c>
      <c r="AQ172">
        <f t="shared" si="117"/>
        <v>0</v>
      </c>
      <c r="AR172" t="str">
        <f t="shared" si="118"/>
        <v>Empate</v>
      </c>
      <c r="AS172" s="3" t="str">
        <f t="shared" si="119"/>
        <v>Empate</v>
      </c>
    </row>
    <row r="173" spans="1:45" x14ac:dyDescent="0.3">
      <c r="A173" t="s">
        <v>404</v>
      </c>
      <c r="B173">
        <f t="shared" si="100"/>
        <v>2025</v>
      </c>
      <c r="C173" t="str">
        <f t="shared" si="101"/>
        <v>Jan</v>
      </c>
      <c r="D173" t="str" cm="1">
        <f t="array" ref="D173">_xlfn.IFS(OR(C173="Dec", C173="Jan", C173="Feb"), "Invierno", OR(C173="Mar", C173="Apr", C173="May"), "Primavera", OR(C173="Jun", C173="Jul", C173="Aug"), "Verano", OR(C173="Sep", C173="Oct", C173="Nov"), "Otoño")</f>
        <v>Invierno</v>
      </c>
      <c r="E173" t="s">
        <v>22</v>
      </c>
      <c r="F173" t="s">
        <v>38</v>
      </c>
      <c r="G173" t="s">
        <v>351</v>
      </c>
      <c r="H173" t="s">
        <v>32</v>
      </c>
      <c r="I173" t="s">
        <v>59</v>
      </c>
      <c r="J173">
        <v>17</v>
      </c>
      <c r="K173">
        <v>17</v>
      </c>
      <c r="L173">
        <f t="shared" si="102"/>
        <v>17</v>
      </c>
      <c r="M173">
        <f t="shared" si="103"/>
        <v>17</v>
      </c>
      <c r="N173">
        <v>7</v>
      </c>
      <c r="O173">
        <v>4</v>
      </c>
      <c r="P173">
        <f t="shared" si="104"/>
        <v>7</v>
      </c>
      <c r="Q173">
        <f t="shared" si="105"/>
        <v>4</v>
      </c>
      <c r="R173">
        <v>60</v>
      </c>
      <c r="S173">
        <v>40</v>
      </c>
      <c r="T173" s="10">
        <f t="shared" si="106"/>
        <v>60</v>
      </c>
      <c r="U173">
        <f t="shared" si="107"/>
        <v>40</v>
      </c>
      <c r="V173">
        <v>3</v>
      </c>
      <c r="W173">
        <v>3</v>
      </c>
      <c r="X173">
        <v>10</v>
      </c>
      <c r="Y173">
        <v>7</v>
      </c>
      <c r="Z173">
        <f t="shared" si="108"/>
        <v>3</v>
      </c>
      <c r="AA173">
        <f t="shared" si="109"/>
        <v>3</v>
      </c>
      <c r="AB173">
        <f t="shared" si="110"/>
        <v>10</v>
      </c>
      <c r="AC173">
        <f t="shared" si="111"/>
        <v>7</v>
      </c>
      <c r="AD173">
        <v>2</v>
      </c>
      <c r="AE173">
        <v>2</v>
      </c>
      <c r="AF173" t="s">
        <v>60</v>
      </c>
      <c r="AG173">
        <v>0</v>
      </c>
      <c r="AH173">
        <f t="shared" si="112"/>
        <v>0</v>
      </c>
      <c r="AI173">
        <f t="shared" si="113"/>
        <v>0</v>
      </c>
      <c r="AJ173">
        <v>0</v>
      </c>
      <c r="AK173">
        <v>1</v>
      </c>
      <c r="AL173">
        <f t="shared" si="114"/>
        <v>1</v>
      </c>
      <c r="AM173">
        <f t="shared" si="115"/>
        <v>1</v>
      </c>
      <c r="AN173">
        <v>1</v>
      </c>
      <c r="AO173" t="s">
        <v>28</v>
      </c>
      <c r="AP173">
        <f t="shared" si="116"/>
        <v>1</v>
      </c>
      <c r="AQ173">
        <f t="shared" si="117"/>
        <v>1</v>
      </c>
      <c r="AR173" t="str">
        <f t="shared" si="118"/>
        <v>Empate</v>
      </c>
      <c r="AS173" s="3" t="str">
        <f t="shared" si="119"/>
        <v>Empate</v>
      </c>
    </row>
    <row r="174" spans="1:45" x14ac:dyDescent="0.3">
      <c r="A174" t="s">
        <v>331</v>
      </c>
      <c r="B174">
        <f t="shared" si="100"/>
        <v>2025</v>
      </c>
      <c r="C174" t="str">
        <f t="shared" si="101"/>
        <v>Jan</v>
      </c>
      <c r="D174" t="str" cm="1">
        <f t="array" ref="D174">_xlfn.IFS(OR(C174="Dec", C174="Jan", C174="Feb"), "Invierno", OR(C174="Mar", C174="Apr", C174="May"), "Primavera", OR(C174="Jun", C174="Jul", C174="Aug"), "Verano", OR(C174="Sep", C174="Oct", C174="Nov"), "Otoño")</f>
        <v>Invierno</v>
      </c>
      <c r="E174" t="s">
        <v>22</v>
      </c>
      <c r="F174" t="s">
        <v>38</v>
      </c>
      <c r="G174" t="s">
        <v>44</v>
      </c>
      <c r="H174" t="s">
        <v>32</v>
      </c>
      <c r="I174" t="s">
        <v>132</v>
      </c>
      <c r="J174">
        <v>15</v>
      </c>
      <c r="K174">
        <v>6</v>
      </c>
      <c r="L174">
        <f t="shared" si="102"/>
        <v>15</v>
      </c>
      <c r="M174">
        <f t="shared" si="103"/>
        <v>6</v>
      </c>
      <c r="N174">
        <v>7</v>
      </c>
      <c r="O174">
        <v>2</v>
      </c>
      <c r="P174">
        <f t="shared" si="104"/>
        <v>7</v>
      </c>
      <c r="Q174">
        <f t="shared" si="105"/>
        <v>2</v>
      </c>
      <c r="R174">
        <v>57</v>
      </c>
      <c r="S174">
        <v>43</v>
      </c>
      <c r="T174" s="10">
        <f t="shared" si="106"/>
        <v>57</v>
      </c>
      <c r="U174">
        <f t="shared" si="107"/>
        <v>43</v>
      </c>
      <c r="V174">
        <v>3</v>
      </c>
      <c r="W174">
        <v>1</v>
      </c>
      <c r="X174">
        <v>18</v>
      </c>
      <c r="Y174">
        <v>9</v>
      </c>
      <c r="Z174">
        <f t="shared" si="108"/>
        <v>3</v>
      </c>
      <c r="AA174">
        <f t="shared" si="109"/>
        <v>1</v>
      </c>
      <c r="AB174">
        <f t="shared" si="110"/>
        <v>18</v>
      </c>
      <c r="AC174">
        <f t="shared" si="111"/>
        <v>9</v>
      </c>
      <c r="AD174">
        <v>1</v>
      </c>
      <c r="AE174">
        <v>1</v>
      </c>
      <c r="AF174" t="s">
        <v>222</v>
      </c>
      <c r="AG174">
        <v>1</v>
      </c>
      <c r="AH174">
        <f t="shared" si="112"/>
        <v>1</v>
      </c>
      <c r="AI174">
        <f t="shared" si="113"/>
        <v>2</v>
      </c>
      <c r="AJ174">
        <v>2</v>
      </c>
      <c r="AK174">
        <v>1</v>
      </c>
      <c r="AL174">
        <f t="shared" si="114"/>
        <v>1</v>
      </c>
      <c r="AM174">
        <f t="shared" si="115"/>
        <v>1</v>
      </c>
      <c r="AN174">
        <v>1</v>
      </c>
      <c r="AO174" t="s">
        <v>107</v>
      </c>
      <c r="AP174">
        <f t="shared" si="116"/>
        <v>2</v>
      </c>
      <c r="AQ174">
        <f t="shared" si="117"/>
        <v>3</v>
      </c>
      <c r="AR174" t="str">
        <f t="shared" si="118"/>
        <v>Derrota</v>
      </c>
      <c r="AS174" s="3" t="str">
        <f t="shared" si="119"/>
        <v>Derrota ajustada</v>
      </c>
    </row>
    <row r="175" spans="1:45" x14ac:dyDescent="0.3">
      <c r="A175" t="s">
        <v>405</v>
      </c>
      <c r="B175">
        <f t="shared" si="100"/>
        <v>2025</v>
      </c>
      <c r="C175" t="str">
        <f t="shared" si="101"/>
        <v>Jan</v>
      </c>
      <c r="D175" t="str" cm="1">
        <f t="array" ref="D175">_xlfn.IFS(OR(C175="Dec", C175="Jan", C175="Feb"), "Invierno", OR(C175="Mar", C175="Apr", C175="May"), "Primavera", OR(C175="Jun", C175="Jul", C175="Aug"), "Verano", OR(C175="Sep", C175="Oct", C175="Nov"), "Otoño")</f>
        <v>Invierno</v>
      </c>
      <c r="E175" t="s">
        <v>30</v>
      </c>
      <c r="F175" t="s">
        <v>23</v>
      </c>
      <c r="G175" t="s">
        <v>352</v>
      </c>
      <c r="H175" t="s">
        <v>25</v>
      </c>
      <c r="I175" t="s">
        <v>54</v>
      </c>
      <c r="J175">
        <v>15</v>
      </c>
      <c r="K175">
        <v>5</v>
      </c>
      <c r="L175">
        <f t="shared" si="102"/>
        <v>5</v>
      </c>
      <c r="M175">
        <f t="shared" si="103"/>
        <v>15</v>
      </c>
      <c r="N175">
        <v>1</v>
      </c>
      <c r="O175">
        <v>4</v>
      </c>
      <c r="P175">
        <f t="shared" si="104"/>
        <v>4</v>
      </c>
      <c r="Q175">
        <f t="shared" si="105"/>
        <v>1</v>
      </c>
      <c r="R175">
        <v>54</v>
      </c>
      <c r="S175">
        <v>46</v>
      </c>
      <c r="T175" s="10">
        <f t="shared" si="106"/>
        <v>46</v>
      </c>
      <c r="U175">
        <f t="shared" si="107"/>
        <v>54</v>
      </c>
      <c r="V175">
        <v>4</v>
      </c>
      <c r="W175">
        <v>5</v>
      </c>
      <c r="X175">
        <v>15</v>
      </c>
      <c r="Y175">
        <v>10</v>
      </c>
      <c r="Z175">
        <f t="shared" si="108"/>
        <v>5</v>
      </c>
      <c r="AA175">
        <f t="shared" si="109"/>
        <v>4</v>
      </c>
      <c r="AB175">
        <f t="shared" si="110"/>
        <v>10</v>
      </c>
      <c r="AC175">
        <f t="shared" si="111"/>
        <v>15</v>
      </c>
      <c r="AD175">
        <v>1</v>
      </c>
      <c r="AE175">
        <v>3</v>
      </c>
      <c r="AF175" t="s">
        <v>127</v>
      </c>
      <c r="AG175">
        <v>1</v>
      </c>
      <c r="AH175">
        <f t="shared" si="112"/>
        <v>0</v>
      </c>
      <c r="AI175">
        <f t="shared" si="113"/>
        <v>1</v>
      </c>
      <c r="AJ175">
        <v>0</v>
      </c>
      <c r="AK175">
        <v>0</v>
      </c>
      <c r="AL175">
        <f t="shared" si="114"/>
        <v>2</v>
      </c>
      <c r="AM175">
        <f t="shared" si="115"/>
        <v>0</v>
      </c>
      <c r="AN175">
        <v>2</v>
      </c>
      <c r="AO175" t="s">
        <v>66</v>
      </c>
      <c r="AP175">
        <f t="shared" si="116"/>
        <v>2</v>
      </c>
      <c r="AQ175">
        <f t="shared" si="117"/>
        <v>1</v>
      </c>
      <c r="AR175" t="str">
        <f t="shared" si="118"/>
        <v>Victoria</v>
      </c>
      <c r="AS175" s="3" t="str">
        <f t="shared" si="119"/>
        <v>Victoria ajustada</v>
      </c>
    </row>
    <row r="176" spans="1:45" x14ac:dyDescent="0.3">
      <c r="A176" t="s">
        <v>370</v>
      </c>
      <c r="B176">
        <f t="shared" si="100"/>
        <v>2025</v>
      </c>
      <c r="C176" s="3" t="str">
        <f>MID(A176,5,3)</f>
        <v>Feb</v>
      </c>
      <c r="D176" s="3" t="str" cm="1">
        <f t="array" ref="D176">_xlfn.IFS(OR(C176="Dec", C176="Jan", C176="Feb"), "Invierno", OR(C176="Mar", C176="Apr", C176="May"), "Primavera", OR(C176="Jun", C176="Jul", C176="Aug"), "Verano", OR(C176="Sep", C176="Oct", C176="Nov"), "Otoño")</f>
        <v>Invierno</v>
      </c>
      <c r="E176" s="19">
        <v>0.75</v>
      </c>
      <c r="F176" t="s">
        <v>38</v>
      </c>
      <c r="G176" t="s">
        <v>31</v>
      </c>
      <c r="H176" t="s">
        <v>25</v>
      </c>
      <c r="I176" s="21" t="s">
        <v>59</v>
      </c>
      <c r="J176">
        <v>22</v>
      </c>
      <c r="K176">
        <v>5</v>
      </c>
      <c r="L176" s="3">
        <f>IF(F176 = "H", J176, IF(F176 = "A", K176))</f>
        <v>22</v>
      </c>
      <c r="M176" s="3">
        <f>IF(F176 = "A", J176, IF(F176 = "H", K176))</f>
        <v>5</v>
      </c>
      <c r="N176">
        <v>3</v>
      </c>
      <c r="O176">
        <v>0</v>
      </c>
      <c r="P176" s="3">
        <f>IF(F176 = "H", N176, IF(F176 = "A", O176,0))</f>
        <v>3</v>
      </c>
      <c r="Q176" s="3">
        <f>IF(F176 = "A", N176, IF(F176 = "H", O176))</f>
        <v>0</v>
      </c>
      <c r="R176">
        <v>65</v>
      </c>
      <c r="S176">
        <v>35</v>
      </c>
      <c r="T176" s="10">
        <f>IF(F176 = "H", R176, IF(F176 ="A", S176,0))</f>
        <v>65</v>
      </c>
      <c r="U176" s="3">
        <f>IF(F176 = "A", R176, IF(F176 = "H", S176))</f>
        <v>35</v>
      </c>
      <c r="V176">
        <v>8</v>
      </c>
      <c r="W176">
        <v>0</v>
      </c>
      <c r="X176">
        <v>6</v>
      </c>
      <c r="Y176">
        <v>11</v>
      </c>
      <c r="Z176" s="3">
        <f>IF(F176 = "H", V176, IF(F176 = "A", W176))</f>
        <v>8</v>
      </c>
      <c r="AA176" s="3">
        <f>IF(F176 = "A", V176, IF(F176 = "H", W176))</f>
        <v>0</v>
      </c>
      <c r="AB176" s="3">
        <f>IF(F176 = "H", X176, IF(F176= "A", Y176, 0))</f>
        <v>6</v>
      </c>
      <c r="AC176" s="3">
        <f>IF(F176 = "A", X176, IF(F176 = "H", Y176, 0))</f>
        <v>11</v>
      </c>
      <c r="AD176">
        <v>1</v>
      </c>
      <c r="AE176">
        <v>0</v>
      </c>
      <c r="AF176" t="s">
        <v>114</v>
      </c>
      <c r="AG176">
        <v>1</v>
      </c>
      <c r="AH176">
        <f t="shared" si="112"/>
        <v>1</v>
      </c>
      <c r="AI176">
        <f t="shared" si="113"/>
        <v>1</v>
      </c>
      <c r="AJ176">
        <v>1</v>
      </c>
      <c r="AK176">
        <v>0</v>
      </c>
      <c r="AL176">
        <f t="shared" si="114"/>
        <v>0</v>
      </c>
      <c r="AM176">
        <f t="shared" si="115"/>
        <v>0</v>
      </c>
      <c r="AN176">
        <v>0</v>
      </c>
      <c r="AO176" t="s">
        <v>141</v>
      </c>
      <c r="AP176" s="3">
        <f t="shared" si="116"/>
        <v>1</v>
      </c>
      <c r="AQ176" s="3">
        <f t="shared" si="117"/>
        <v>1</v>
      </c>
      <c r="AR176" s="3" t="str">
        <f>IF(AP176&gt;AQ176,"Victoria",IF(AQ176&gt;AP176,"Derrota",IF(AQ176=AP176,"Empate")))</f>
        <v>Empate</v>
      </c>
      <c r="AS176" s="3" t="str">
        <f t="shared" si="119"/>
        <v>Empate</v>
      </c>
    </row>
    <row r="177" spans="1:45" x14ac:dyDescent="0.3">
      <c r="A177" t="s">
        <v>371</v>
      </c>
      <c r="B177">
        <f t="shared" si="100"/>
        <v>2025</v>
      </c>
      <c r="C177" s="3" t="str">
        <f>MID(A177,5,3)</f>
        <v>feb</v>
      </c>
      <c r="D177" s="3" t="str" cm="1">
        <f t="array" ref="D177">_xlfn.IFS(OR(C177="Dec", C177="Jan", C177="Feb"), "Invierno", OR(C177="Mar", C177="Apr", C177="May"), "Primavera", OR(C177="Jun", C177="Jul", C177="Aug"), "Verano", OR(C177="Sep", C177="Oct", C177="Nov"), "Otoño")</f>
        <v>Invierno</v>
      </c>
      <c r="E177" s="20">
        <v>0.625</v>
      </c>
      <c r="F177" t="s">
        <v>23</v>
      </c>
      <c r="G177" t="s">
        <v>372</v>
      </c>
      <c r="H177" t="s">
        <v>25</v>
      </c>
      <c r="I177" s="21" t="s">
        <v>374</v>
      </c>
      <c r="J177">
        <v>19</v>
      </c>
      <c r="K177">
        <v>17</v>
      </c>
      <c r="L177" s="3">
        <f>IF(F177 = "H", J177, IF(F177 = "A", K177))</f>
        <v>17</v>
      </c>
      <c r="M177" s="3">
        <f>IF(F177 = "A", J177, IF(F177 = "H", K177))</f>
        <v>19</v>
      </c>
      <c r="N177">
        <v>8</v>
      </c>
      <c r="O177">
        <v>9</v>
      </c>
      <c r="P177" s="3">
        <f>IF(F177 = "H", N177, IF(F177 = "A", O177,0))</f>
        <v>9</v>
      </c>
      <c r="Q177" s="3">
        <f>IF(F177 = "A", N177, IF(F177 = "H", O177))</f>
        <v>8</v>
      </c>
      <c r="R177">
        <v>38</v>
      </c>
      <c r="S177">
        <v>62</v>
      </c>
      <c r="T177" s="10">
        <f>IF(F177 = "H", R177, IF(F177 ="A", S177,0))</f>
        <v>62</v>
      </c>
      <c r="U177" s="3">
        <f>IF(F177 = "A", R177, IF(F177 = "H", S177))</f>
        <v>38</v>
      </c>
      <c r="V177">
        <v>7</v>
      </c>
      <c r="W177">
        <v>2</v>
      </c>
      <c r="X177">
        <v>10</v>
      </c>
      <c r="Y177">
        <v>6</v>
      </c>
      <c r="Z177" s="3">
        <f>IF(F177 = "H", V177, IF(F177 = "A", W177))</f>
        <v>2</v>
      </c>
      <c r="AA177" s="3">
        <f>IF(F177 = "A", V177, IF(F177 = "H", W177))</f>
        <v>7</v>
      </c>
      <c r="AB177" s="3">
        <f>IF(F177 = "H", X177, IF(F177= "A", Y177, 0))</f>
        <v>6</v>
      </c>
      <c r="AC177" s="3">
        <f>IF(F177 = "A", X177, IF(F177 = "H", Y177, 0))</f>
        <v>10</v>
      </c>
      <c r="AD177">
        <v>3</v>
      </c>
      <c r="AE177">
        <v>0</v>
      </c>
      <c r="AF177" t="s">
        <v>119</v>
      </c>
      <c r="AG177">
        <v>0</v>
      </c>
      <c r="AH177">
        <f t="shared" si="112"/>
        <v>3</v>
      </c>
      <c r="AI177">
        <f t="shared" si="113"/>
        <v>0</v>
      </c>
      <c r="AJ177">
        <v>3</v>
      </c>
      <c r="AK177">
        <v>0</v>
      </c>
      <c r="AL177">
        <f t="shared" si="114"/>
        <v>2</v>
      </c>
      <c r="AM177">
        <f t="shared" si="115"/>
        <v>0</v>
      </c>
      <c r="AN177">
        <v>2</v>
      </c>
      <c r="AO177" s="2" t="s">
        <v>171</v>
      </c>
      <c r="AP177" s="3">
        <f t="shared" si="116"/>
        <v>5</v>
      </c>
      <c r="AQ177" s="3">
        <f t="shared" si="117"/>
        <v>0</v>
      </c>
      <c r="AR177" s="3" t="str">
        <f>IF(AP177&gt;AQ177,"Victoria",IF(AQ177&gt;AP177,"Derrota",IF(AQ177=AP177,"Empate")))</f>
        <v>Victoria</v>
      </c>
      <c r="AS177" s="3" t="str">
        <f t="shared" si="119"/>
        <v>Victoria dominante</v>
      </c>
    </row>
  </sheetData>
  <phoneticPr fontId="2" type="noConversion"/>
  <conditionalFormatting sqref="AR1:AR177 AQ178:AQ1048576">
    <cfRule type="containsText" dxfId="74" priority="10" operator="containsText" text="Empate">
      <formula>NOT(ISERROR(SEARCH("Empate",AQ1)))</formula>
    </cfRule>
    <cfRule type="containsText" dxfId="73" priority="11" operator="containsText" text="Derrota">
      <formula>NOT(ISERROR(SEARCH("Derrota",AQ1)))</formula>
    </cfRule>
    <cfRule type="containsText" dxfId="72" priority="12" stopIfTrue="1" operator="containsText" text="Victoria">
      <formula>NOT(ISERROR(SEARCH("Victoria",AQ1)))</formula>
    </cfRule>
  </conditionalFormatting>
  <conditionalFormatting sqref="AS2:AS1048576">
    <cfRule type="containsText" dxfId="71" priority="8" operator="containsText" text="Derrota">
      <formula>NOT(ISERROR(SEARCH("Derrota",AS2)))</formula>
    </cfRule>
    <cfRule type="containsText" dxfId="70" priority="9" operator="containsText" text="Victoria Dominante">
      <formula>NOT(ISERROR(SEARCH("Victoria Dominante",AS2)))</formula>
    </cfRule>
  </conditionalFormatting>
  <conditionalFormatting sqref="AS4">
    <cfRule type="containsText" dxfId="69" priority="5" operator="containsText" text="Victoria ajustada">
      <formula>NOT(ISERROR(SEARCH("Victoria ajustada",AS4)))</formula>
    </cfRule>
    <cfRule type="containsText" dxfId="68" priority="6" operator="containsText" text="Victoria ajustada">
      <formula>NOT(ISERROR(SEARCH("Victoria ajustada",AS4)))</formula>
    </cfRule>
    <cfRule type="containsText" dxfId="67" priority="7" operator="containsText" text="Derrota aplastante">
      <formula>NOT(ISERROR(SEARCH("Derrota aplastante",AS4)))</formula>
    </cfRule>
  </conditionalFormatting>
  <conditionalFormatting sqref="AS7">
    <cfRule type="containsText" dxfId="66" priority="4" operator="containsText" text="Empate">
      <formula>NOT(ISERROR(SEARCH("Empate",AS7)))</formula>
    </cfRule>
  </conditionalFormatting>
  <conditionalFormatting sqref="AS151:AS177">
    <cfRule type="containsText" dxfId="65" priority="2" operator="containsText" text="Empate">
      <formula>NOT(ISERROR(SEARCH("Empate",AS151)))</formula>
    </cfRule>
    <cfRule type="containsText" dxfId="64" priority="3" operator="containsText" text="Victoria ajustada">
      <formula>NOT(ISERROR(SEARCH("Victoria ajustada",AS151)))</formula>
    </cfRule>
  </conditionalFormatting>
  <conditionalFormatting sqref="AS1:AS1048576">
    <cfRule type="containsText" dxfId="63" priority="1" operator="containsText" text="Empate">
      <formula>NOT(ISERROR(SEARCH("Empate",AS1)))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FB656-8B41-4D7D-ADAE-BC51FF87F722}">
  <dimension ref="A1:D6"/>
  <sheetViews>
    <sheetView workbookViewId="0">
      <selection activeCell="D6" sqref="D6"/>
    </sheetView>
  </sheetViews>
  <sheetFormatPr baseColWidth="10" defaultRowHeight="14.4" x14ac:dyDescent="0.3"/>
  <sheetData>
    <row r="1" spans="1:4" x14ac:dyDescent="0.3">
      <c r="A1" t="s">
        <v>385</v>
      </c>
      <c r="B1" t="s">
        <v>386</v>
      </c>
      <c r="C1" t="s">
        <v>387</v>
      </c>
      <c r="D1" t="s">
        <v>390</v>
      </c>
    </row>
    <row r="2" spans="1:4" ht="72" x14ac:dyDescent="0.3">
      <c r="A2" s="23" t="s">
        <v>336</v>
      </c>
      <c r="B2" s="23" t="s">
        <v>393</v>
      </c>
      <c r="C2" s="22" t="s">
        <v>389</v>
      </c>
      <c r="D2" s="22" t="s">
        <v>392</v>
      </c>
    </row>
    <row r="3" spans="1:4" ht="43.2" x14ac:dyDescent="0.3">
      <c r="A3" s="23" t="s">
        <v>335</v>
      </c>
      <c r="B3" s="23" t="s">
        <v>388</v>
      </c>
      <c r="C3" s="22" t="s">
        <v>394</v>
      </c>
      <c r="D3" s="22" t="s">
        <v>392</v>
      </c>
    </row>
    <row r="4" spans="1:4" ht="43.2" x14ac:dyDescent="0.3">
      <c r="A4" s="23" t="s">
        <v>358</v>
      </c>
      <c r="B4" s="23" t="s">
        <v>395</v>
      </c>
      <c r="C4" s="22" t="s">
        <v>396</v>
      </c>
      <c r="D4" s="22" t="s">
        <v>392</v>
      </c>
    </row>
    <row r="5" spans="1:4" ht="43.2" x14ac:dyDescent="0.3">
      <c r="A5" s="23" t="s">
        <v>397</v>
      </c>
      <c r="B5" s="23" t="s">
        <v>398</v>
      </c>
      <c r="C5" s="22" t="s">
        <v>399</v>
      </c>
      <c r="D5" s="22" t="s">
        <v>392</v>
      </c>
    </row>
    <row r="6" spans="1:4" ht="43.2" x14ac:dyDescent="0.3">
      <c r="A6" s="23" t="s">
        <v>400</v>
      </c>
      <c r="B6" s="23" t="s">
        <v>401</v>
      </c>
      <c r="C6" s="22" t="s">
        <v>402</v>
      </c>
      <c r="D6" s="22" t="s">
        <v>392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7FAC2-142E-4024-ABF0-D52D574C0A80}">
  <dimension ref="M9:AB41"/>
  <sheetViews>
    <sheetView tabSelected="1" zoomScale="80" zoomScaleNormal="80" workbookViewId="0">
      <selection activeCell="AB7" sqref="AB7"/>
    </sheetView>
  </sheetViews>
  <sheetFormatPr baseColWidth="10" defaultRowHeight="14.4" x14ac:dyDescent="0.3"/>
  <cols>
    <col min="1" max="1" width="15.21875" style="7" customWidth="1"/>
    <col min="2" max="12" width="11.5546875" style="7"/>
    <col min="13" max="13" width="16.44140625" style="7" customWidth="1"/>
    <col min="14" max="16384" width="11.5546875" style="7"/>
  </cols>
  <sheetData>
    <row r="9" spans="14:28" ht="23.4" x14ac:dyDescent="0.45">
      <c r="N9" s="11"/>
      <c r="R9" s="13"/>
      <c r="V9" s="13"/>
      <c r="AA9" s="13"/>
    </row>
    <row r="10" spans="14:28" ht="21" x14ac:dyDescent="0.4">
      <c r="S10" s="14"/>
    </row>
    <row r="13" spans="14:28" ht="21" x14ac:dyDescent="0.4">
      <c r="R13" s="15"/>
      <c r="V13" s="13"/>
      <c r="AA13" s="13"/>
    </row>
    <row r="14" spans="14:28" ht="21" x14ac:dyDescent="0.4">
      <c r="Q14" s="15"/>
      <c r="S14" s="15"/>
      <c r="U14" s="15"/>
      <c r="W14" s="15"/>
      <c r="Z14" s="12"/>
      <c r="AA14" s="9"/>
      <c r="AB14" s="14"/>
    </row>
    <row r="20" spans="13:23" ht="18" x14ac:dyDescent="0.35">
      <c r="S20" s="18"/>
    </row>
    <row r="21" spans="13:23" ht="21" x14ac:dyDescent="0.4">
      <c r="R21" s="15"/>
      <c r="S21" s="15"/>
      <c r="T21" s="15"/>
      <c r="V21" s="13"/>
    </row>
    <row r="22" spans="13:23" ht="18" x14ac:dyDescent="0.35">
      <c r="M22" s="6"/>
      <c r="R22" s="16"/>
      <c r="S22" s="15"/>
      <c r="T22" s="17"/>
      <c r="U22" s="15"/>
      <c r="V22" s="15"/>
      <c r="W22" s="15"/>
    </row>
    <row r="23" spans="13:23" ht="18" x14ac:dyDescent="0.35">
      <c r="M23" s="8"/>
      <c r="U23" s="16"/>
      <c r="V23" s="15"/>
      <c r="W23" s="17"/>
    </row>
    <row r="26" spans="13:23" ht="18" x14ac:dyDescent="0.35">
      <c r="P26" s="15" t="str" cm="1">
        <f t="array" ref="P26">INDEX(Atalanta!A2:A177, MATCH(1, ( Atalanta!G2:G177 = "Venezia")*(Atalanta!AQ2:AQ177 = 1),0))</f>
        <v>Sat Apr 23, 2022</v>
      </c>
    </row>
    <row r="31" spans="13:23" ht="18" x14ac:dyDescent="0.35">
      <c r="P31" s="15" t="str">
        <f>Tiros_Puerta_Goles!A108</f>
        <v>AC Milan </v>
      </c>
    </row>
    <row r="33" spans="15:17" ht="18" x14ac:dyDescent="0.35">
      <c r="O33" s="15">
        <f>VLOOKUP(Tiros_Puerta_Goles!A108, Tiros_Puerta_Goles!A107:C136, 2, FALSE)</f>
        <v>3</v>
      </c>
      <c r="Q33" s="15">
        <f>VLOOKUP(Tiros_Puerta_Goles!A108, Tiros_Puerta_Goles!A107:C136, 3, FALSE)</f>
        <v>3</v>
      </c>
    </row>
    <row r="39" spans="15:17" ht="18" x14ac:dyDescent="0.35">
      <c r="P39" s="24" t="str">
        <f>Resultados_Partidos!A6</f>
        <v>AC Milan </v>
      </c>
    </row>
    <row r="40" spans="15:17" ht="15.6" x14ac:dyDescent="0.3">
      <c r="O40" s="27" t="str">
        <f>Resultados_Partidos!B5</f>
        <v>Derrota</v>
      </c>
      <c r="P40" s="26" t="str">
        <f>Resultados_Partidos!C5</f>
        <v>Empate</v>
      </c>
      <c r="Q40" s="25" t="str">
        <f>Resultados_Partidos!D5</f>
        <v>Victoria</v>
      </c>
    </row>
    <row r="41" spans="15:17" ht="15.6" x14ac:dyDescent="0.3">
      <c r="O41" s="30">
        <f>VLOOKUP(Resultados_Partidos!A6,Resultados_Partidos!A3:E32,2, FALSE)</f>
        <v>4</v>
      </c>
      <c r="P41" s="29">
        <f>VLOOKUP(Resultados_Partidos!A6,Resultados_Partidos!A3:E32,3, FALSE)</f>
        <v>2</v>
      </c>
      <c r="Q41" s="28">
        <f>VLOOKUP(Resultados_Partidos!A6,Resultados_Partidos!A5:E32,4,FALSE)</f>
        <v>3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7665-38C4-4D2B-809D-660A931FC08A}">
  <dimension ref="A1:E5"/>
  <sheetViews>
    <sheetView workbookViewId="0">
      <selection activeCell="A3" sqref="A3"/>
    </sheetView>
  </sheetViews>
  <sheetFormatPr baseColWidth="10" defaultRowHeight="14.4" x14ac:dyDescent="0.3"/>
  <cols>
    <col min="1" max="1" width="17.109375" bestFit="1" customWidth="1"/>
    <col min="2" max="2" width="32.21875" bestFit="1" customWidth="1"/>
    <col min="3" max="3" width="33.44140625" bestFit="1" customWidth="1"/>
    <col min="4" max="4" width="32.77734375" bestFit="1" customWidth="1"/>
    <col min="5" max="5" width="34.88671875" bestFit="1" customWidth="1"/>
  </cols>
  <sheetData>
    <row r="1" spans="1:5" x14ac:dyDescent="0.3">
      <c r="A1" s="1" t="s">
        <v>1</v>
      </c>
      <c r="B1" t="s">
        <v>384</v>
      </c>
    </row>
    <row r="3" spans="1:5" x14ac:dyDescent="0.3">
      <c r="A3" s="1" t="s">
        <v>332</v>
      </c>
      <c r="B3" t="s">
        <v>378</v>
      </c>
      <c r="C3" t="s">
        <v>379</v>
      </c>
      <c r="D3" t="s">
        <v>380</v>
      </c>
      <c r="E3" t="s">
        <v>381</v>
      </c>
    </row>
    <row r="4" spans="1:5" x14ac:dyDescent="0.3">
      <c r="A4" s="2" t="s">
        <v>105</v>
      </c>
      <c r="B4" s="4">
        <v>0.55555555555555558</v>
      </c>
      <c r="C4" s="4">
        <v>0.66666666666666663</v>
      </c>
      <c r="D4" s="4">
        <v>0.77777777777777779</v>
      </c>
      <c r="E4" s="4">
        <v>0.88888888888888884</v>
      </c>
    </row>
    <row r="5" spans="1:5" x14ac:dyDescent="0.3">
      <c r="A5" s="2" t="s">
        <v>333</v>
      </c>
      <c r="B5" s="4">
        <v>0.55555555555555558</v>
      </c>
      <c r="C5" s="4">
        <v>0.66666666666666663</v>
      </c>
      <c r="D5" s="4">
        <v>0.77777777777777779</v>
      </c>
      <c r="E5" s="4">
        <v>0.88888888888888884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2A9DB-081F-4CD0-BF25-214FB53FDC6D}">
  <dimension ref="A1:C5"/>
  <sheetViews>
    <sheetView workbookViewId="0">
      <selection sqref="A1:C5"/>
    </sheetView>
  </sheetViews>
  <sheetFormatPr baseColWidth="10" defaultRowHeight="14.4" x14ac:dyDescent="0.3"/>
  <cols>
    <col min="1" max="1" width="17.109375" bestFit="1" customWidth="1"/>
    <col min="2" max="2" width="26.109375" bestFit="1" customWidth="1"/>
    <col min="3" max="3" width="27.664062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344</v>
      </c>
      <c r="C3" t="s">
        <v>373</v>
      </c>
    </row>
    <row r="4" spans="1:3" x14ac:dyDescent="0.3">
      <c r="A4" s="2" t="s">
        <v>105</v>
      </c>
      <c r="B4" s="4">
        <v>1.3333333333333333</v>
      </c>
      <c r="C4" s="4">
        <v>1.5555555555555556</v>
      </c>
    </row>
    <row r="5" spans="1:3" x14ac:dyDescent="0.3">
      <c r="A5" s="2" t="s">
        <v>333</v>
      </c>
      <c r="B5" s="4">
        <v>1.3333333333333333</v>
      </c>
      <c r="C5" s="4">
        <v>1.5555555555555556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0753-2937-46C7-AAB5-B35E58F9CB77}">
  <dimension ref="A1:C5"/>
  <sheetViews>
    <sheetView workbookViewId="0">
      <selection sqref="A1:B1 A3:C5"/>
    </sheetView>
  </sheetViews>
  <sheetFormatPr baseColWidth="10" defaultRowHeight="14.4" x14ac:dyDescent="0.3"/>
  <cols>
    <col min="1" max="1" width="17.109375" bestFit="1" customWidth="1"/>
    <col min="2" max="2" width="25.109375" bestFit="1" customWidth="1"/>
    <col min="3" max="3" width="32.10937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366</v>
      </c>
      <c r="C3" t="s">
        <v>350</v>
      </c>
    </row>
    <row r="4" spans="1:3" x14ac:dyDescent="0.3">
      <c r="A4" s="2" t="s">
        <v>105</v>
      </c>
      <c r="B4" s="4">
        <v>13.111111111111111</v>
      </c>
      <c r="C4" s="4">
        <v>3.3333333333333335</v>
      </c>
    </row>
    <row r="5" spans="1:3" x14ac:dyDescent="0.3">
      <c r="A5" s="2" t="s">
        <v>333</v>
      </c>
      <c r="B5" s="4">
        <v>13.111111111111111</v>
      </c>
      <c r="C5" s="3">
        <v>3.3333333333333335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C031-24A7-4896-8724-3DABAA25F554}">
  <dimension ref="A1:C5"/>
  <sheetViews>
    <sheetView workbookViewId="0">
      <selection activeCell="A3" sqref="A3"/>
    </sheetView>
  </sheetViews>
  <sheetFormatPr baseColWidth="10" defaultRowHeight="14.4" x14ac:dyDescent="0.3"/>
  <cols>
    <col min="1" max="1" width="17.109375" bestFit="1" customWidth="1"/>
    <col min="2" max="2" width="26.109375" bestFit="1" customWidth="1"/>
    <col min="3" max="3" width="27.3320312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347</v>
      </c>
      <c r="C3" t="s">
        <v>357</v>
      </c>
    </row>
    <row r="4" spans="1:3" x14ac:dyDescent="0.3">
      <c r="A4" s="2" t="s">
        <v>105</v>
      </c>
      <c r="B4" s="4">
        <v>13.888888888888889</v>
      </c>
      <c r="C4" s="4">
        <v>10.888888888888889</v>
      </c>
    </row>
    <row r="5" spans="1:3" x14ac:dyDescent="0.3">
      <c r="A5" s="2" t="s">
        <v>333</v>
      </c>
      <c r="B5" s="4">
        <v>13.888888888888889</v>
      </c>
      <c r="C5" s="4">
        <v>10.888888888888889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5F62F-6878-49ED-BD2F-40F87B9CADB7}">
  <dimension ref="A1:C109"/>
  <sheetViews>
    <sheetView workbookViewId="0">
      <selection activeCell="A3" sqref="A3"/>
    </sheetView>
  </sheetViews>
  <sheetFormatPr baseColWidth="10" defaultRowHeight="14.4" x14ac:dyDescent="0.3"/>
  <cols>
    <col min="1" max="1" width="17.109375" bestFit="1" customWidth="1"/>
    <col min="2" max="2" width="21.77734375" bestFit="1" customWidth="1"/>
    <col min="3" max="3" width="23.33203125" bestFit="1" customWidth="1"/>
    <col min="4" max="5" width="26.664062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350</v>
      </c>
      <c r="C3" t="s">
        <v>344</v>
      </c>
    </row>
    <row r="4" spans="1:3" x14ac:dyDescent="0.3">
      <c r="A4" s="2" t="s">
        <v>105</v>
      </c>
      <c r="B4" s="4">
        <v>3.3333333333333335</v>
      </c>
      <c r="C4" s="4">
        <v>1.3333333333333333</v>
      </c>
    </row>
    <row r="5" spans="1:3" x14ac:dyDescent="0.3">
      <c r="A5" s="2" t="s">
        <v>333</v>
      </c>
      <c r="B5" s="3">
        <v>3.3333333333333335</v>
      </c>
      <c r="C5" s="4">
        <v>1.3333333333333333</v>
      </c>
    </row>
    <row r="105" spans="1:3" x14ac:dyDescent="0.3">
      <c r="A105" s="1" t="s">
        <v>1</v>
      </c>
      <c r="B105" t="s">
        <v>384</v>
      </c>
    </row>
    <row r="107" spans="1:3" x14ac:dyDescent="0.3">
      <c r="A107" s="1" t="s">
        <v>332</v>
      </c>
      <c r="B107" t="s">
        <v>368</v>
      </c>
      <c r="C107" t="s">
        <v>369</v>
      </c>
    </row>
    <row r="108" spans="1:3" x14ac:dyDescent="0.3">
      <c r="A108" s="2" t="s">
        <v>105</v>
      </c>
      <c r="B108" s="5">
        <v>3</v>
      </c>
      <c r="C108" s="5">
        <v>3</v>
      </c>
    </row>
    <row r="109" spans="1:3" x14ac:dyDescent="0.3">
      <c r="A109" s="2" t="s">
        <v>333</v>
      </c>
      <c r="B109" s="5">
        <v>3</v>
      </c>
      <c r="C109" s="5">
        <v>3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FECED-5992-4DC8-9902-55536C55AEF6}">
  <dimension ref="A1:C5"/>
  <sheetViews>
    <sheetView workbookViewId="0">
      <selection activeCell="A3" sqref="A3"/>
    </sheetView>
  </sheetViews>
  <sheetFormatPr baseColWidth="10" defaultRowHeight="14.4" x14ac:dyDescent="0.3"/>
  <cols>
    <col min="1" max="1" width="17.109375" bestFit="1" customWidth="1"/>
    <col min="2" max="2" width="25.109375" bestFit="1" customWidth="1"/>
    <col min="3" max="3" width="26.7773437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366</v>
      </c>
      <c r="C3" t="s">
        <v>367</v>
      </c>
    </row>
    <row r="4" spans="1:3" x14ac:dyDescent="0.3">
      <c r="A4" s="2" t="s">
        <v>105</v>
      </c>
      <c r="B4" s="4">
        <v>13.111111111111111</v>
      </c>
      <c r="C4" s="4">
        <v>12.888888888888889</v>
      </c>
    </row>
    <row r="5" spans="1:3" x14ac:dyDescent="0.3">
      <c r="A5" s="2" t="s">
        <v>333</v>
      </c>
      <c r="B5" s="4">
        <v>13.111111111111111</v>
      </c>
      <c r="C5" s="4">
        <v>12.888888888888889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F34F7-DF69-4AD5-AAF7-0FAB875ACBF2}">
  <dimension ref="A1:C5"/>
  <sheetViews>
    <sheetView workbookViewId="0">
      <selection sqref="A1:C32"/>
    </sheetView>
  </sheetViews>
  <sheetFormatPr baseColWidth="10" defaultRowHeight="14.4" x14ac:dyDescent="0.3"/>
  <cols>
    <col min="1" max="1" width="17.109375" bestFit="1" customWidth="1"/>
    <col min="2" max="2" width="27.77734375" bestFit="1" customWidth="1"/>
    <col min="3" max="3" width="29.33203125" bestFit="1" customWidth="1"/>
  </cols>
  <sheetData>
    <row r="1" spans="1:3" x14ac:dyDescent="0.3">
      <c r="A1" s="1" t="s">
        <v>1</v>
      </c>
      <c r="B1" t="s">
        <v>384</v>
      </c>
    </row>
    <row r="3" spans="1:3" x14ac:dyDescent="0.3">
      <c r="A3" s="1" t="s">
        <v>332</v>
      </c>
      <c r="B3" t="s">
        <v>362</v>
      </c>
      <c r="C3" t="s">
        <v>363</v>
      </c>
    </row>
    <row r="4" spans="1:3" x14ac:dyDescent="0.3">
      <c r="A4" s="2" t="s">
        <v>105</v>
      </c>
      <c r="B4" s="4">
        <v>5.333333333333333</v>
      </c>
      <c r="C4" s="4">
        <v>3.6666666666666665</v>
      </c>
    </row>
    <row r="5" spans="1:3" x14ac:dyDescent="0.3">
      <c r="A5" s="2" t="s">
        <v>333</v>
      </c>
      <c r="B5" s="3">
        <v>5.333333333333333</v>
      </c>
      <c r="C5" s="3">
        <v>3.6666666666666665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BCD9-A545-4461-A9D6-139910B00655}">
  <dimension ref="A2:E7"/>
  <sheetViews>
    <sheetView workbookViewId="0">
      <selection activeCell="B5" sqref="B5"/>
    </sheetView>
  </sheetViews>
  <sheetFormatPr baseColWidth="10" defaultRowHeight="14.4" x14ac:dyDescent="0.3"/>
  <cols>
    <col min="1" max="1" width="23.33203125" bestFit="1" customWidth="1"/>
    <col min="2" max="2" width="21.77734375" bestFit="1" customWidth="1"/>
    <col min="3" max="3" width="7.44140625" bestFit="1" customWidth="1"/>
    <col min="4" max="4" width="7.6640625" bestFit="1" customWidth="1"/>
    <col min="5" max="6" width="12.21875" bestFit="1" customWidth="1"/>
  </cols>
  <sheetData>
    <row r="2" spans="1:5" x14ac:dyDescent="0.3">
      <c r="A2" s="1" t="s">
        <v>1</v>
      </c>
      <c r="B2" t="s">
        <v>384</v>
      </c>
    </row>
    <row r="4" spans="1:5" x14ac:dyDescent="0.3">
      <c r="A4" s="1" t="s">
        <v>337</v>
      </c>
      <c r="B4" s="1" t="s">
        <v>338</v>
      </c>
    </row>
    <row r="5" spans="1:5" x14ac:dyDescent="0.3">
      <c r="A5" s="1" t="s">
        <v>332</v>
      </c>
      <c r="B5" t="s">
        <v>339</v>
      </c>
      <c r="C5" t="s">
        <v>340</v>
      </c>
      <c r="D5" t="s">
        <v>341</v>
      </c>
      <c r="E5" t="s">
        <v>333</v>
      </c>
    </row>
    <row r="6" spans="1:5" x14ac:dyDescent="0.3">
      <c r="A6" s="2" t="s">
        <v>105</v>
      </c>
      <c r="B6" s="5">
        <v>4</v>
      </c>
      <c r="C6" s="5">
        <v>2</v>
      </c>
      <c r="D6" s="5">
        <v>3</v>
      </c>
      <c r="E6" s="5">
        <v>9</v>
      </c>
    </row>
    <row r="7" spans="1:5" x14ac:dyDescent="0.3">
      <c r="A7" s="2" t="s">
        <v>333</v>
      </c>
      <c r="B7" s="5">
        <v>4</v>
      </c>
      <c r="C7" s="5">
        <v>2</v>
      </c>
      <c r="D7" s="5">
        <v>3</v>
      </c>
      <c r="E7" s="5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D07DF9-3F9B-4DF0-8964-94DFA3FE02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Atalanta</vt:lpstr>
      <vt:lpstr>Macros</vt:lpstr>
      <vt:lpstr>Cuadro_mando_Atalanta</vt:lpstr>
      <vt:lpstr>Gol_Primero_Segundo</vt:lpstr>
      <vt:lpstr>Prom_goles</vt:lpstr>
      <vt:lpstr>Tiros_vs_Tiros_Puerta</vt:lpstr>
      <vt:lpstr>Prom_faltas</vt:lpstr>
      <vt:lpstr>Tiros_Puerta_Goles</vt:lpstr>
      <vt:lpstr>Prom_Tiros</vt:lpstr>
      <vt:lpstr>Corners</vt:lpstr>
      <vt:lpstr>Resultados_Partidos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victor di salvatore</cp:lastModifiedBy>
  <dcterms:created xsi:type="dcterms:W3CDTF">2025-02-05T22:14:39Z</dcterms:created>
  <dcterms:modified xsi:type="dcterms:W3CDTF">2025-04-14T16:24:28Z</dcterms:modified>
</cp:coreProperties>
</file>